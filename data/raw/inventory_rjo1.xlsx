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iemonteinvestimento.sharepoint.com/sites/OperacaoDataHall/Documentos Compartilhados/Diretoria de Data Hall/Controle de Estoque Cabling DH_Manter Atualizado !/RJO1/"/>
    </mc:Choice>
  </mc:AlternateContent>
  <xr:revisionPtr revIDLastSave="0" documentId="8_{7B87D157-BEE2-4F9E-B7FE-F84C800FC33F}" xr6:coauthVersionLast="47" xr6:coauthVersionMax="47" xr10:uidLastSave="{00000000-0000-0000-0000-000000000000}"/>
  <bookViews>
    <workbookView xWindow="-108" yWindow="-108" windowWidth="23256" windowHeight="12576" xr2:uid="{EC63CD7C-8EAA-4FE7-A0A9-6A398C40C724}"/>
  </bookViews>
  <sheets>
    <sheet name="Controle" sheetId="1" r:id="rId1"/>
    <sheet name="Insumos DH02" sheetId="5" r:id="rId2"/>
    <sheet name="Entradas" sheetId="4" r:id="rId3"/>
    <sheet name="Dados de saída" sheetId="2" r:id="rId4"/>
    <sheet name="Planilha1" sheetId="3" state="hidden" r:id="rId5"/>
  </sheets>
  <definedNames>
    <definedName name="_xlnm._FilterDatabase" localSheetId="0" hidden="1">Controle!$A$1:$D$1</definedName>
    <definedName name="_xlnm._FilterDatabase" localSheetId="3" hidden="1">'Dados de saída'!$A$1:$E$285</definedName>
    <definedName name="_xlnm._FilterDatabase" localSheetId="4" hidden="1">Planilha1!$A$1:$I$91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1" l="1" a="1"/>
  <c r="D94" i="1"/>
  <c r="D95" i="1" a="1"/>
  <c r="D95" i="1"/>
  <c r="D96" i="1" a="1"/>
  <c r="D96" i="1"/>
  <c r="D93" i="1" a="1"/>
  <c r="D93" i="1" s="1"/>
  <c r="D92" i="1" a="1"/>
  <c r="D92" i="1" s="1"/>
  <c r="D91" i="1" a="1"/>
  <c r="D91" i="1" s="1"/>
  <c r="D90" i="1" a="1"/>
  <c r="D90" i="1" s="1"/>
  <c r="D89" i="1" a="1"/>
  <c r="D89" i="1" s="1"/>
  <c r="D88" i="1" a="1"/>
  <c r="D88" i="1" s="1"/>
  <c r="D68" i="1" a="1"/>
  <c r="D68" i="1"/>
  <c r="D87" i="1" a="1"/>
  <c r="D87" i="1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7" i="1" a="1"/>
  <c r="D37" i="1"/>
  <c r="D86" i="1" a="1"/>
  <c r="D86" i="1"/>
  <c r="I93" i="3"/>
  <c r="I92" i="3"/>
  <c r="D65" i="1" a="1"/>
  <c r="D65" i="1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2" i="3"/>
  <c r="I3" i="3"/>
  <c r="I4" i="3"/>
  <c r="I5" i="3"/>
  <c r="I6" i="3" l="1"/>
  <c r="D75" i="1" a="1"/>
  <c r="D75" i="1" s="1"/>
  <c r="D12" i="1" a="1"/>
  <c r="D12" i="1" s="1"/>
  <c r="D47" i="1" a="1"/>
  <c r="D47" i="1" s="1"/>
  <c r="D45" i="1" a="1"/>
  <c r="D45" i="1" s="1"/>
  <c r="D29" i="1" a="1"/>
  <c r="D29" i="1" s="1"/>
  <c r="D24" i="1" a="1"/>
  <c r="D24" i="1" s="1"/>
  <c r="D10" i="1" a="1"/>
  <c r="D10" i="1" s="1"/>
  <c r="D85" i="1" a="1"/>
  <c r="D85" i="1" s="1"/>
  <c r="D62" i="1" a="1"/>
  <c r="D62" i="1" s="1"/>
  <c r="D63" i="1" a="1"/>
  <c r="D63" i="1" s="1"/>
  <c r="D64" i="1" a="1"/>
  <c r="D64" i="1" s="1"/>
  <c r="D54" i="1" a="1"/>
  <c r="D54" i="1" s="1"/>
  <c r="D55" i="1" a="1"/>
  <c r="D55" i="1" s="1"/>
  <c r="D61" i="1" a="1"/>
  <c r="D61" i="1" s="1"/>
  <c r="D69" i="1" a="1"/>
  <c r="D69" i="1" s="1"/>
  <c r="D48" i="1" a="1"/>
  <c r="D48" i="1" s="1"/>
  <c r="D51" i="1" a="1"/>
  <c r="D51" i="1" s="1"/>
  <c r="D4" i="1" a="1"/>
  <c r="D4" i="1" s="1"/>
  <c r="D7" i="1" a="1"/>
  <c r="D7" i="1" s="1"/>
  <c r="D8" i="1" a="1"/>
  <c r="D8" i="1" s="1"/>
  <c r="D9" i="1" a="1"/>
  <c r="D9" i="1" s="1"/>
  <c r="D5" i="1" a="1"/>
  <c r="D5" i="1" s="1"/>
  <c r="D11" i="1" a="1"/>
  <c r="D11" i="1" s="1"/>
  <c r="D13" i="1" a="1"/>
  <c r="D13" i="1" s="1"/>
  <c r="D6" i="1" a="1"/>
  <c r="D6" i="1" s="1"/>
  <c r="D14" i="1" a="1"/>
  <c r="D14" i="1" s="1"/>
  <c r="D17" i="1" a="1"/>
  <c r="D17" i="1" s="1"/>
  <c r="D18" i="1" a="1"/>
  <c r="D18" i="1" s="1"/>
  <c r="D19" i="1" a="1"/>
  <c r="D19" i="1" s="1"/>
  <c r="D20" i="1" a="1"/>
  <c r="D20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D32" i="1" a="1"/>
  <c r="D32" i="1" s="1"/>
  <c r="D33" i="1" a="1"/>
  <c r="D33" i="1" s="1"/>
  <c r="D25" i="1" a="1"/>
  <c r="D25" i="1" s="1"/>
  <c r="D38" i="1" a="1"/>
  <c r="D38" i="1" s="1"/>
  <c r="D39" i="1" a="1"/>
  <c r="D39" i="1" s="1"/>
  <c r="D40" i="1" a="1"/>
  <c r="D40" i="1" s="1"/>
  <c r="D41" i="1" a="1"/>
  <c r="D41" i="1" s="1"/>
  <c r="D36" i="1" a="1"/>
  <c r="D36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44" i="1" a="1"/>
  <c r="D44" i="1" s="1"/>
  <c r="D46" i="1" a="1"/>
  <c r="D46" i="1" s="1"/>
  <c r="D70" i="1" a="1"/>
  <c r="D70" i="1" s="1"/>
  <c r="D71" i="1" a="1"/>
  <c r="D71" i="1" s="1"/>
  <c r="D52" i="1" a="1"/>
  <c r="D52" i="1" s="1"/>
  <c r="D53" i="1" a="1"/>
  <c r="D53" i="1" s="1"/>
  <c r="D58" i="1" a="1"/>
  <c r="D58" i="1" s="1"/>
  <c r="D72" i="1" a="1"/>
  <c r="D72" i="1" s="1"/>
  <c r="D73" i="1" a="1"/>
  <c r="D73" i="1" s="1"/>
  <c r="D74" i="1" a="1"/>
  <c r="D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tc={076D6C0E-FBC7-4031-BBF5-DDD8553E37BC}</author>
  </authors>
  <commentList>
    <comment ref="E256" authorId="0" shapeId="0" xr:uid="{076D6C0E-FBC7-4031-BBF5-DDD8553E37BC}">
      <text>
        <t>[Threaded comment]
Your version of Excel allows you to read this threaded comment; however, any edits to it will get removed if the file is opened in a newer version of Excel. Learn more: https://go.microsoft.com/fwlink/?linkid=870924
Comment:
    Saída de 8 mas só tinham 4 no estoque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<sst xmlns="http://schemas.openxmlformats.org/spreadsheetml/2006/main" count="1866" uniqueCount="551">
  <si>
    <t>MATERIAIS</t>
  </si>
  <si>
    <t>QNTD. EM ESTOQUE</t>
  </si>
  <si>
    <t>ESTOQUE MÍNIMO</t>
  </si>
  <si>
    <t>STATUS</t>
  </si>
  <si>
    <t>Fibra Óptica Duplex MM OM4 LC-UPC/LC-UPC</t>
  </si>
  <si>
    <t xml:space="preserve"> 1.5 metros</t>
  </si>
  <si>
    <t xml:space="preserve"> 3.0 metros</t>
  </si>
  <si>
    <t xml:space="preserve"> 5.0 metros</t>
  </si>
  <si>
    <t xml:space="preserve"> 10.0 metros</t>
  </si>
  <si>
    <t xml:space="preserve"> 15.0 metros</t>
  </si>
  <si>
    <t>20.0 metros</t>
  </si>
  <si>
    <t xml:space="preserve"> 25.0 metros</t>
  </si>
  <si>
    <t xml:space="preserve"> 30.0 metros</t>
  </si>
  <si>
    <t xml:space="preserve"> 35.0 metros</t>
  </si>
  <si>
    <t xml:space="preserve"> 40.0 metros</t>
  </si>
  <si>
    <t xml:space="preserve"> 50.0 metros</t>
  </si>
  <si>
    <t>Fibra Óptica SM LC-APC/SC-APC</t>
  </si>
  <si>
    <t>20 metros</t>
  </si>
  <si>
    <t>30 metros</t>
  </si>
  <si>
    <t>35 metros</t>
  </si>
  <si>
    <t>40 metros</t>
  </si>
  <si>
    <t>Fibra Óptica SM LC-UPC/LC-UPC</t>
  </si>
  <si>
    <t>1.5 metros</t>
  </si>
  <si>
    <t>3 metros</t>
  </si>
  <si>
    <t>5 metros</t>
  </si>
  <si>
    <t>10 metros</t>
  </si>
  <si>
    <t>15 metros</t>
  </si>
  <si>
    <t>25 metros</t>
  </si>
  <si>
    <t>50 metros</t>
  </si>
  <si>
    <t>Fibra Óptica SM LC-UPC/SC-UPC</t>
  </si>
  <si>
    <t>Patch Cord U/UTP</t>
  </si>
  <si>
    <t>Conectores</t>
  </si>
  <si>
    <t>RJ-45 Macho (pct c/ 50)</t>
  </si>
  <si>
    <t>RJ-45 Fêmea Cat6</t>
  </si>
  <si>
    <t>RJ-45 Fêmea Cat6A</t>
  </si>
  <si>
    <t>Conector SOC LC/UPC OM3 2MM</t>
  </si>
  <si>
    <t>Conector SOC SC/UPC SM 2MM</t>
  </si>
  <si>
    <t>Patch Panel Descarregado</t>
  </si>
  <si>
    <t>24 Portas</t>
  </si>
  <si>
    <t>Adaptadores</t>
  </si>
  <si>
    <t>LC Duplex MM</t>
  </si>
  <si>
    <t>LC Duplex SM</t>
  </si>
  <si>
    <t>SC Duplex MM</t>
  </si>
  <si>
    <t>SC Duplex SM</t>
  </si>
  <si>
    <t>LC Quad SM - Sem (Flange)</t>
  </si>
  <si>
    <t>Insumos</t>
  </si>
  <si>
    <t>Cabos Twinax</t>
  </si>
  <si>
    <t>Cartucho de Fita (Etiquetadora Brother) 18MM</t>
  </si>
  <si>
    <t>Guia de cabos horizontal fechado 1U</t>
  </si>
  <si>
    <t>Guia de cabos horizontal fechado 1U alta densidade</t>
  </si>
  <si>
    <t>Power Cord NBR 14136 - 10A</t>
  </si>
  <si>
    <t>Power Cord NBR 14136 - 20A</t>
  </si>
  <si>
    <t>Velcro</t>
  </si>
  <si>
    <t>Kit 3x Placas LGX 12 Posições LC/SC</t>
  </si>
  <si>
    <t>Cordão Óptico MM DP Aqua (Bobina) (metro)</t>
  </si>
  <si>
    <t>Cordão Óptico SM Tight Duplex (Bobina) (metro)</t>
  </si>
  <si>
    <t>Data Cable Gigalan Green U/UTP 23AWGX4P CAT.6A CZ RIB</t>
  </si>
  <si>
    <t>EV OM4 LC/LC Jumper OFNP 25M</t>
  </si>
  <si>
    <t>EXTENSÃO MONOFIBRA CONECTORIZADA MM (50.0) OM4 LC-UPC 1.5M SEM ADAPTADOR - LSZH - AQUA - D0.9</t>
  </si>
  <si>
    <t>EXTENSÃO MONOFIBRA CONECTORIZADA LC-UPC 1.5M SEM ADAPTADOR - LSZH - BRANCO - D0.9</t>
  </si>
  <si>
    <t>EXTENSÃO OPTICA CONECTORIZADA 02F MM (50.0) LC-SPC - D0.9</t>
  </si>
  <si>
    <t>Fibra Commscope 2.0M MM</t>
  </si>
  <si>
    <t>Fibra Commscope 30.0M MM</t>
  </si>
  <si>
    <t>Fibra IBM 5M MM</t>
  </si>
  <si>
    <t>Bandeja Fixa 4 Pontos 1U</t>
  </si>
  <si>
    <t>Adaptadores USB wireless TP-LINK TL-WN725N 150MBPs</t>
  </si>
  <si>
    <t>Cordão Óptico MM MPO-UPC/LC-UPC 1X4 Duplex FONNET 3M</t>
  </si>
  <si>
    <t>Cordão Óptico MM MPO-UPC FONNET 3M</t>
  </si>
  <si>
    <t>Cordão Óptico MM LC-UPC FONNET 3M</t>
  </si>
  <si>
    <t>Cordão Óptico SM MPO-APC/LC-UPC 1X4 Duplex FONNET 3M</t>
  </si>
  <si>
    <t>Cordão Óptico SM MPO-APC FONNET 3M</t>
  </si>
  <si>
    <t>Cordão Óptico SM LC-UPC FONNET 3M</t>
  </si>
  <si>
    <t>Cordão Óptico - CODECOM - 1-MT-2F-SMA1-LSZH-14-14-B-BLU</t>
  </si>
  <si>
    <t>Cordão Óptico - CODECOM - 2.5-MT-2F-SMA1-LSZH-14-14-B-BLU</t>
  </si>
  <si>
    <t>Cordão Óptico - CODECOM - 5-MT-2F-SMA1-LSZH-14-14-B-BLU</t>
  </si>
  <si>
    <t>Item</t>
  </si>
  <si>
    <t>Qntd.</t>
  </si>
  <si>
    <t>IP</t>
  </si>
  <si>
    <t>NIP</t>
  </si>
  <si>
    <t>EV OM4 LC/LC Jumper OFNP 25M (Hitachi)</t>
  </si>
  <si>
    <t>x</t>
  </si>
  <si>
    <t>Pigtail Furukawa</t>
  </si>
  <si>
    <t>Fibra Óptica SM LC-UPC/SC-APC 15M</t>
  </si>
  <si>
    <t>Fibra Óptica SM LC-UPC/SC-UPC 20M</t>
  </si>
  <si>
    <t>Fibra Óptica SM LC-UPC/SC-UPC 35M</t>
  </si>
  <si>
    <t>Cabos DAC 7M</t>
  </si>
  <si>
    <t>Cabos DAC 3M</t>
  </si>
  <si>
    <t>Cabos DAC 1M</t>
  </si>
  <si>
    <t>Power Cord 10A</t>
  </si>
  <si>
    <t>-</t>
  </si>
  <si>
    <t>Power Cord 20A</t>
  </si>
  <si>
    <t>Guia Cabo Furukawa</t>
  </si>
  <si>
    <t>Cabos UTP avulsos</t>
  </si>
  <si>
    <t>13M</t>
  </si>
  <si>
    <t>7M</t>
  </si>
  <si>
    <t>30M</t>
  </si>
  <si>
    <t>UTP PRETO 1,5m</t>
  </si>
  <si>
    <t>33M</t>
  </si>
  <si>
    <t>34M</t>
  </si>
  <si>
    <t>Itens presentes no estoque (Sala de Monitoramento)</t>
  </si>
  <si>
    <t xml:space="preserve">Cabos UTP avulsos </t>
  </si>
  <si>
    <t>1,5M</t>
  </si>
  <si>
    <t>10M</t>
  </si>
  <si>
    <t>1M</t>
  </si>
  <si>
    <t>2,5M</t>
  </si>
  <si>
    <t>2M</t>
  </si>
  <si>
    <t>3M</t>
  </si>
  <si>
    <t>4M</t>
  </si>
  <si>
    <t>5M</t>
  </si>
  <si>
    <t>40M</t>
  </si>
  <si>
    <t>20M</t>
  </si>
  <si>
    <t>15M</t>
  </si>
  <si>
    <t>Produto</t>
  </si>
  <si>
    <t>Quantidade</t>
  </si>
  <si>
    <t>Valor Unitário</t>
  </si>
  <si>
    <t>Valor Total</t>
  </si>
  <si>
    <t>Nº da Nota Fiscal</t>
  </si>
  <si>
    <t>Chamado</t>
  </si>
  <si>
    <t>Data da Entrada</t>
  </si>
  <si>
    <t>Acompanhado por:</t>
  </si>
  <si>
    <t>DIO HDX II Espelhamento 144 LC 1U</t>
  </si>
  <si>
    <t>RITM0068843</t>
  </si>
  <si>
    <t>Yuri Rodrigues</t>
  </si>
  <si>
    <t>Service 24F SM 35M</t>
  </si>
  <si>
    <t>Service 24F SM 45M</t>
  </si>
  <si>
    <t>Patch Panel Descarregado 24P</t>
  </si>
  <si>
    <t>Fibra Óptica Duplex MM OM4 LC-UPC/LC-UPC 5m</t>
  </si>
  <si>
    <t>Fibra Óptica SM LC-UPC/LC-UPC 25m</t>
  </si>
  <si>
    <t>Fibra Óptica SM LC-UPC/LC-UPC 5m</t>
  </si>
  <si>
    <t>Fibra Óptica SM LC-UPC/LC-UPC 35m</t>
  </si>
  <si>
    <t>Fibra Óptica SM LC-UPC/LC-UPC 3m</t>
  </si>
  <si>
    <t>Fibra Óptica SM LC-UPC/LC-UPC 15m</t>
  </si>
  <si>
    <t>Fibra Óptica SM LC-UPC/LC-UPC 1.5m</t>
  </si>
  <si>
    <t>Fibra Óptica Duplex MM OM4 LC-UPC/LC-UPC 3m</t>
  </si>
  <si>
    <t>Fibra Óptica Duplex MM OM4 LC-UPC/LC-UPC 1.5m</t>
  </si>
  <si>
    <t>Conector RJ-45 Macho cat 6(pct c/ 50)</t>
  </si>
  <si>
    <t>HD HP 300GB</t>
  </si>
  <si>
    <t>RITM0072059</t>
  </si>
  <si>
    <t>Iuri Paiva</t>
  </si>
  <si>
    <t>PDU MONO/BIFASICO 24 TOM (20 CN)</t>
  </si>
  <si>
    <t xml:space="preserve">RITM0072378 </t>
  </si>
  <si>
    <t>PLUGUE 2P+T 32A 200/250V 6H AZ</t>
  </si>
  <si>
    <t>Fibra Óptica Duplex MM OM4 LC-UPC/LC-UPC 20m</t>
  </si>
  <si>
    <t>Adaptador 24 Fibras SM - Codecom</t>
  </si>
  <si>
    <t>Fibra Duplex SM LC/UPC 10M - Codecom</t>
  </si>
  <si>
    <t>Lightera - Tomada Aparente 1P Branca</t>
  </si>
  <si>
    <t>DIO C-Connex M-Series</t>
  </si>
  <si>
    <t>Fibra Duplex MM LC/PC 8M</t>
  </si>
  <si>
    <t>Bateria HP Megacell 260MM</t>
  </si>
  <si>
    <t>Data</t>
  </si>
  <si>
    <t>Cliente</t>
  </si>
  <si>
    <t>Material</t>
  </si>
  <si>
    <t>CredTech</t>
  </si>
  <si>
    <t>RITM0064163</t>
  </si>
  <si>
    <t>FO SM LC/LC UPC 5m</t>
  </si>
  <si>
    <t>FO SM LC/LC UPC 20m</t>
  </si>
  <si>
    <t>Adaptador LC Duplex SM</t>
  </si>
  <si>
    <t>patch panel descarregado 24 portas</t>
  </si>
  <si>
    <t>ELEA DATACENTERS</t>
  </si>
  <si>
    <t>RITM0054340</t>
  </si>
  <si>
    <t>FO MM 3M</t>
  </si>
  <si>
    <t>RITM0055009</t>
  </si>
  <si>
    <t>Patch Cord de 5M</t>
  </si>
  <si>
    <t>LIGHT SERVIÇOS DE ELETRICIDADE S.A.</t>
  </si>
  <si>
    <t>RITM0055390</t>
  </si>
  <si>
    <t>FO MM 10M</t>
  </si>
  <si>
    <t>RITM0055564</t>
  </si>
  <si>
    <t>FO SM 1.5M</t>
  </si>
  <si>
    <t>FUNDAÇÃO ATLÂNTICO DE SEGURIDADE SOCIAL</t>
  </si>
  <si>
    <t>RITM0055715</t>
  </si>
  <si>
    <t>RITM0055606</t>
  </si>
  <si>
    <t>Patch Cord de 3M</t>
  </si>
  <si>
    <t>RITM0055605</t>
  </si>
  <si>
    <t>RITM0055694</t>
  </si>
  <si>
    <t>CAGE GLOBO</t>
  </si>
  <si>
    <t>RITM0055968</t>
  </si>
  <si>
    <t>FO SM 15M</t>
  </si>
  <si>
    <t>FO SM 40M</t>
  </si>
  <si>
    <t>FO MM 15M</t>
  </si>
  <si>
    <t>RITM0056820</t>
  </si>
  <si>
    <t>FO MM 5M</t>
  </si>
  <si>
    <t>RITM0057114</t>
  </si>
  <si>
    <t>FO SM 20M</t>
  </si>
  <si>
    <t>RITM0057160</t>
  </si>
  <si>
    <t>FO SM 50M</t>
  </si>
  <si>
    <t>RITM0057950</t>
  </si>
  <si>
    <t>FO SM 30M</t>
  </si>
  <si>
    <t>ADPT. LC Duplex SM</t>
  </si>
  <si>
    <t>RITM0058086 </t>
  </si>
  <si>
    <t>RITM0058702</t>
  </si>
  <si>
    <t>Patch Cord de 15M</t>
  </si>
  <si>
    <t>RITM0058706</t>
  </si>
  <si>
    <t>RITM0058872</t>
  </si>
  <si>
    <t>LIGHT  SERVIÇOS DE ELETRICIDADE S.A.</t>
  </si>
  <si>
    <t>RITM0059026</t>
  </si>
  <si>
    <t>Patch Cord de 10M</t>
  </si>
  <si>
    <t>Conector RJ45 Fêmea CAT6A</t>
  </si>
  <si>
    <t>RITM0060175</t>
  </si>
  <si>
    <t>FO SM 3M</t>
  </si>
  <si>
    <t>FO SM 25M</t>
  </si>
  <si>
    <t>Pendente</t>
  </si>
  <si>
    <t>Patch Cord de 1.5M</t>
  </si>
  <si>
    <t>RITM0060461</t>
  </si>
  <si>
    <t>FO MM LC/LC UPC 15m</t>
  </si>
  <si>
    <t xml:space="preserve"> FO-SM-LC/LC-UPC 15M</t>
  </si>
  <si>
    <t>BRFIBRA</t>
  </si>
  <si>
    <t>RITM0060481</t>
  </si>
  <si>
    <t>FO SM LC-APC/SC-APC 40M</t>
  </si>
  <si>
    <t>COGENT</t>
  </si>
  <si>
    <t>RITM0060423</t>
  </si>
  <si>
    <t xml:space="preserve">FO SM 10M </t>
  </si>
  <si>
    <t>RITM0060532</t>
  </si>
  <si>
    <t>PATCH CORD UTP 3M</t>
  </si>
  <si>
    <t>IPV7</t>
  </si>
  <si>
    <t xml:space="preserve">RITM0060466 </t>
  </si>
  <si>
    <t xml:space="preserve"> FO-SM-LC/LC-UPC 5M</t>
  </si>
  <si>
    <t>PATCH PANEL DESCARREGADO 24P</t>
  </si>
  <si>
    <t>MEGA TELECOM</t>
  </si>
  <si>
    <t>RITM0060681</t>
  </si>
  <si>
    <t>UFINET</t>
  </si>
  <si>
    <t>RITM0060829</t>
  </si>
  <si>
    <t>FO-MM-LC/LC-UPC 15M</t>
  </si>
  <si>
    <t>Elea Digital</t>
  </si>
  <si>
    <t>Á pedido do Douglas</t>
  </si>
  <si>
    <t>RITM0061112</t>
  </si>
  <si>
    <t>FO-SM LC-UPC/LC-UPC 30m</t>
  </si>
  <si>
    <t>FO-SM LC-UPC/LC-UPC 3m</t>
  </si>
  <si>
    <t>FO-SM LC-UPC/LC-UPC 1,5m</t>
  </si>
  <si>
    <t>RITM0061113</t>
  </si>
  <si>
    <t xml:space="preserve"> FO-SM-LC/LC-UPC 50M</t>
  </si>
  <si>
    <t>RITM0061336</t>
  </si>
  <si>
    <t>RITM0061840</t>
  </si>
  <si>
    <t>FO-MM-LC/LC-UPC 10M</t>
  </si>
  <si>
    <t>RITM0062311</t>
  </si>
  <si>
    <t>RITM0062313</t>
  </si>
  <si>
    <t xml:space="preserve"> FO-SM-LC/LC-UPC 10M</t>
  </si>
  <si>
    <t xml:space="preserve"> FO-SM-LC/LC-UPC 1.5M</t>
  </si>
  <si>
    <t>RITM0062718</t>
  </si>
  <si>
    <t xml:space="preserve"> FO-MM-LC/LC-UPC 5M</t>
  </si>
  <si>
    <t xml:space="preserve"> FO-MM-LC/LC-UPC 3M</t>
  </si>
  <si>
    <t xml:space="preserve"> FO-MM-LC/LC-UPC 15M</t>
  </si>
  <si>
    <t>ADPT. LC Duplex MM</t>
  </si>
  <si>
    <t>RITM0062984</t>
  </si>
  <si>
    <t>FO MM LC/LC UPC 5m</t>
  </si>
  <si>
    <t>FO MM LC/LC UPC 3m</t>
  </si>
  <si>
    <t>Adaptador LC Duplex MM</t>
  </si>
  <si>
    <t>velcro</t>
  </si>
  <si>
    <t>IX.BR</t>
  </si>
  <si>
    <t>RITM0063258</t>
  </si>
  <si>
    <t>FO MM LC/LC UPC 1.5m</t>
  </si>
  <si>
    <t>FO MM LC/LC UPC 10m</t>
  </si>
  <si>
    <t>RITM0063286</t>
  </si>
  <si>
    <t>FO MM LC/LC UPC 30m</t>
  </si>
  <si>
    <t>RITM0063287</t>
  </si>
  <si>
    <t>RITM0063769</t>
  </si>
  <si>
    <t>Fibra Óptica SM LC-UPC/LC-UPC 40 metros</t>
  </si>
  <si>
    <t>FO SM LC/LC UPC 1.5m</t>
  </si>
  <si>
    <t>RITM0064665</t>
  </si>
  <si>
    <t>Fibra Óptica SM LC-UPC/SC-UPC - 5m</t>
  </si>
  <si>
    <t>Fibra Óptica SM LC-UPC/SC-UPC - 20m</t>
  </si>
  <si>
    <t>Fibra Óptica SM LC-UPC/SC-UPC - 30m</t>
  </si>
  <si>
    <t>Fibra Óptica SM LC-UPC/SC-UPC - 40m</t>
  </si>
  <si>
    <t>More Speed</t>
  </si>
  <si>
    <t>RITM0065352</t>
  </si>
  <si>
    <t>Patch Panel Descarregado 24 portas</t>
  </si>
  <si>
    <t>RITM0065637</t>
  </si>
  <si>
    <t>Fibra Óptica SM LC-UPC/LC-UPC 10m</t>
  </si>
  <si>
    <t>RITM0066085</t>
  </si>
  <si>
    <t>FO SM LC/LC UPC 15m</t>
  </si>
  <si>
    <t>FO SM LC/LC UPC 3m</t>
  </si>
  <si>
    <t>RITM0066220</t>
  </si>
  <si>
    <t>FO SM LC/LC UPC 1m</t>
  </si>
  <si>
    <t xml:space="preserve">Cabo UTP 1.5m </t>
  </si>
  <si>
    <t>RITM0066502</t>
  </si>
  <si>
    <t xml:space="preserve">Cabo UTP 5m </t>
  </si>
  <si>
    <t>Uso na operação</t>
  </si>
  <si>
    <t>RITM0065974</t>
  </si>
  <si>
    <t xml:space="preserve">Cabo UTP 3m </t>
  </si>
  <si>
    <t>RITM0066802</t>
  </si>
  <si>
    <t>RITM0066922</t>
  </si>
  <si>
    <t>RITM0067309</t>
  </si>
  <si>
    <t>Cabo UTP 10m</t>
  </si>
  <si>
    <t>Cabo UTP 3m</t>
  </si>
  <si>
    <t>Cabo UTP 5m</t>
  </si>
  <si>
    <t>Cartucho de Fita (Etiquetadora Brother) 18MM</t>
  </si>
  <si>
    <t>RITM0067790</t>
  </si>
  <si>
    <t>RITM0068437</t>
  </si>
  <si>
    <t>Conector RJ45 Fêmea CAT6</t>
  </si>
  <si>
    <t>RITM0068763</t>
  </si>
  <si>
    <t>RITM0069666</t>
  </si>
  <si>
    <t>RITM0069256</t>
  </si>
  <si>
    <t>Fibra Óptica Duplex MM OM4 LC-UPC/LC-UPC 3.0 metros</t>
  </si>
  <si>
    <t>Patch Cord U/UTP 3M</t>
  </si>
  <si>
    <t>Conectores CAT6 fêmea</t>
  </si>
  <si>
    <t>RITM0069970</t>
  </si>
  <si>
    <t xml:space="preserve"> RITM0070076</t>
  </si>
  <si>
    <t>Fibra Óptica Duplex MM OM4 LC-UPC/LC-UPC 1,5 metros</t>
  </si>
  <si>
    <t>Telxius</t>
  </si>
  <si>
    <t>RITM0070457</t>
  </si>
  <si>
    <t>Telecall</t>
  </si>
  <si>
    <t>RITM0070682</t>
  </si>
  <si>
    <t>DS CUPERTINO</t>
  </si>
  <si>
    <t>RITM0071022</t>
  </si>
  <si>
    <t xml:space="preserve">RITM0071094 </t>
  </si>
  <si>
    <t>RITM0071346</t>
  </si>
  <si>
    <t>20 m Fibra Óptica SM LC-UPC/LC-UPC</t>
  </si>
  <si>
    <t>10 m Fibra Óptica SM LC-UPC/LC-UPC</t>
  </si>
  <si>
    <t>5m Fibra Óptica SM LC-UPC/LC-UPC</t>
  </si>
  <si>
    <t>1,5m Fibra Óptica SM LC-UPC/LC-UPC</t>
  </si>
  <si>
    <t>Adaptadores LC Duplex SM</t>
  </si>
  <si>
    <t>RITM0071888</t>
  </si>
  <si>
    <t>Patch Cord U/UTP 5M</t>
  </si>
  <si>
    <t>Patch Cord U/UTP 10M</t>
  </si>
  <si>
    <t>RITM0072082</t>
  </si>
  <si>
    <t>15m Fibra Óptica SM LC-UPC/LC-UPC</t>
  </si>
  <si>
    <t>RITM0071933</t>
  </si>
  <si>
    <t>RITM0072642</t>
  </si>
  <si>
    <t>RITM0074326</t>
  </si>
  <si>
    <t>Patch Cord U/UTP 15M</t>
  </si>
  <si>
    <t>RITM0073988</t>
  </si>
  <si>
    <t>RITM0074590</t>
  </si>
  <si>
    <t>RITM0075229</t>
  </si>
  <si>
    <t>25M</t>
  </si>
  <si>
    <t>RITM0075110</t>
  </si>
  <si>
    <t>Fibra Óptica Duplex MM OM4 LC-UPC/LC-UPC 10M</t>
  </si>
  <si>
    <t>RITM0076027</t>
  </si>
  <si>
    <t>Fibra Óptica Duplex MM OM4 LC-UPC/LC-UPC 15M</t>
  </si>
  <si>
    <t>RITM0076470</t>
  </si>
  <si>
    <t>Patch Cord U/UTP 1,5M</t>
  </si>
  <si>
    <t>RITM0076471</t>
  </si>
  <si>
    <t>RITM0077029</t>
  </si>
  <si>
    <t>RITM0077911</t>
  </si>
  <si>
    <t>AGÊNCIA DE FOMENTO DO ESTADO DO RIO DE JANEIRO S.A.</t>
  </si>
  <si>
    <t>RITM0078356</t>
  </si>
  <si>
    <t>Elea Data Centers</t>
  </si>
  <si>
    <t>RITM0078887</t>
  </si>
  <si>
    <t>1,5 m Fibra Óptica SM LC-UPC/LC-UPC</t>
  </si>
  <si>
    <t>3 m Fibra Óptica SM LC-UPC/LC-UPC</t>
  </si>
  <si>
    <t>5 m Fibra Óptica SM LC-UPC/LC-UPC</t>
  </si>
  <si>
    <t>15 m Fibra Óptica SM LC-UPC/LC-UPC</t>
  </si>
  <si>
    <t>30 m Fibra Óptica SM LC-UPC/LC-UPC</t>
  </si>
  <si>
    <t>RITM0079234</t>
  </si>
  <si>
    <t>Patch Cord U/UTP 2,5M</t>
  </si>
  <si>
    <t>W EMPRESAS TELECOM LTDA</t>
  </si>
  <si>
    <t>RITM0079194</t>
  </si>
  <si>
    <t>40 m Fibra Óptica SM LC-UPC/LC-UPC</t>
  </si>
  <si>
    <t>RITM0079716</t>
  </si>
  <si>
    <t>RITM0079942</t>
  </si>
  <si>
    <t>RITM0079876</t>
  </si>
  <si>
    <t>RITM0079943</t>
  </si>
  <si>
    <t>RITM0079925</t>
  </si>
  <si>
    <t>RITM0080015</t>
  </si>
  <si>
    <t>RITM0080098</t>
  </si>
  <si>
    <t>RITM0081325</t>
  </si>
  <si>
    <t>Fibra Óptica Duplex MM OM4 LC-UPC/LC-UPC 20M</t>
  </si>
  <si>
    <t>Fibra Óptica Duplex MM OM4 LC-UPC/LC-UPC 30M</t>
  </si>
  <si>
    <t>Fibra Óptica Duplex MM OM4 LC-UPC/LC-UPC 35M</t>
  </si>
  <si>
    <t>Fibra Óptica Duplex MM OM4 LC-UPC/LC-UPC 40M</t>
  </si>
  <si>
    <t>Fibra Óptica Duplex MM OM4 LC-UPC/LC-UPC 50M</t>
  </si>
  <si>
    <t>Fibra Óptica Duplex SM LC-UPC/LC-UPC 15M</t>
  </si>
  <si>
    <t>Fibra Óptica Duplex SM LC-UPC/LC-UPC 40M</t>
  </si>
  <si>
    <t xml:space="preserve">RITM0081043 </t>
  </si>
  <si>
    <t>Fibra Óptica Duplex MM OM4 LC-UPC/LC-UPC 5M</t>
  </si>
  <si>
    <t>RITM0081130</t>
  </si>
  <si>
    <t>Fibra Óptica Duplex SM LC-UPC/LC-UPC 1.5M</t>
  </si>
  <si>
    <t>Fibra Óptica Duplex SM LC-UPC/LC-UPC 5M</t>
  </si>
  <si>
    <t>Megatelecom</t>
  </si>
  <si>
    <t>RITM0080545</t>
  </si>
  <si>
    <t>Fibra Óptica Duplex SM LC-UPC/LC-UPC 10M</t>
  </si>
  <si>
    <t>RITM0081364</t>
  </si>
  <si>
    <t>RITM0081696</t>
  </si>
  <si>
    <t>RITM0081128</t>
  </si>
  <si>
    <t>INC0018632</t>
  </si>
  <si>
    <t xml:space="preserve">RITM0082016 </t>
  </si>
  <si>
    <t xml:space="preserve">RITM0082044 </t>
  </si>
  <si>
    <t>Patch Cord U/UTP 1M</t>
  </si>
  <si>
    <t>RITM0082071</t>
  </si>
  <si>
    <t>RITM0082141</t>
  </si>
  <si>
    <t>RITM0082788</t>
  </si>
  <si>
    <t>Caixa vida e previdência</t>
  </si>
  <si>
    <t>RITM0082965</t>
  </si>
  <si>
    <t>Fibra Óptica Duplex MM LC-UPC/LC-UPC 20M</t>
  </si>
  <si>
    <t>RITM0083804</t>
  </si>
  <si>
    <t>Fibra Óptica Duplex MM LC-UPC/LC-UPC 1,5M</t>
  </si>
  <si>
    <t>RITM0084009</t>
  </si>
  <si>
    <t>RITM0084011</t>
  </si>
  <si>
    <t>Patch Cords UTP avulsos  4M</t>
  </si>
  <si>
    <t>RITM0084323</t>
  </si>
  <si>
    <t>RITM0084401</t>
  </si>
  <si>
    <t>Patch Cord UTP avulso 20M</t>
  </si>
  <si>
    <t>Patch Cord UTP avulso 5M</t>
  </si>
  <si>
    <t>RITM0084562</t>
  </si>
  <si>
    <t>Fibra Óptica Duplex SM LC-UPC/LC-UPC 3M</t>
  </si>
  <si>
    <t>RITM0084558</t>
  </si>
  <si>
    <t>RITM0084630</t>
  </si>
  <si>
    <t>Fibra Óptica Duplex SM LC-UPC/LC-UPC 1,5M</t>
  </si>
  <si>
    <t>RITM0084057</t>
  </si>
  <si>
    <t>RITM0084627</t>
  </si>
  <si>
    <t xml:space="preserve">RITM0084971 </t>
  </si>
  <si>
    <t>RITM0085045</t>
  </si>
  <si>
    <t xml:space="preserve">RITM0085151 </t>
  </si>
  <si>
    <t>Patch Cord UTP avulso 3M</t>
  </si>
  <si>
    <t>DE-CIX BRASIL LTDA</t>
  </si>
  <si>
    <t>RITM0085027</t>
  </si>
  <si>
    <t xml:space="preserve">RITM0084558 </t>
  </si>
  <si>
    <t>RITM0085850</t>
  </si>
  <si>
    <t>Cabo UTP 1,5m</t>
  </si>
  <si>
    <t>RITM0086277</t>
  </si>
  <si>
    <t>Cabo UTP 13m</t>
  </si>
  <si>
    <t>RITM0087031</t>
  </si>
  <si>
    <t>RITM0087044</t>
  </si>
  <si>
    <t>RITM0087038</t>
  </si>
  <si>
    <t>RJ-45 Macho Cat6</t>
  </si>
  <si>
    <t>RITM0087044 / RITM0087038</t>
  </si>
  <si>
    <t>RITM0088016</t>
  </si>
  <si>
    <t>RITM0088268</t>
  </si>
  <si>
    <t>Cabo UTP 15m</t>
  </si>
  <si>
    <t>RITM0088266</t>
  </si>
  <si>
    <t>RITM0087181</t>
  </si>
  <si>
    <t>D S CUPERTINO</t>
  </si>
  <si>
    <t>RITM0088699</t>
  </si>
  <si>
    <t>RITM0088967</t>
  </si>
  <si>
    <t>RITM0088306</t>
  </si>
  <si>
    <t>Fibra Óptica Duplex MM OM4 LC-UPC/LC-UPC 25m</t>
  </si>
  <si>
    <t>Cabo UTP 12m (Confeccionado)</t>
  </si>
  <si>
    <t>Conector RJ45 Macho</t>
  </si>
  <si>
    <t>RITM0090109</t>
  </si>
  <si>
    <t>FO-SM UPC LC/LC de 10m</t>
  </si>
  <si>
    <t>RITM0090737</t>
  </si>
  <si>
    <t>RITM0091031| RITM0090509</t>
  </si>
  <si>
    <t>Cabos UTP avulsos 4M</t>
  </si>
  <si>
    <t>Cabos UTP avulsos 5M</t>
  </si>
  <si>
    <t>RITM0091829</t>
  </si>
  <si>
    <t>Patch Cord U/UTP 15m</t>
  </si>
  <si>
    <t>Cabo Avulso UTP 30m</t>
  </si>
  <si>
    <t>RITM0093746</t>
  </si>
  <si>
    <t>Mundivox</t>
  </si>
  <si>
    <t> RITM0093736</t>
  </si>
  <si>
    <t>FO-SM UPC LC/LC de 5m</t>
  </si>
  <si>
    <t>FO-SM UPC LC/LC de 3m</t>
  </si>
  <si>
    <t>RITM0093780</t>
  </si>
  <si>
    <t>FO-SM UPC LC/LC de 15m</t>
  </si>
  <si>
    <t>RITM0093931</t>
  </si>
  <si>
    <t>NETWAY</t>
  </si>
  <si>
    <t>RITM0095019</t>
  </si>
  <si>
    <t xml:space="preserve">RITM0095734 </t>
  </si>
  <si>
    <t>FO-SM UPC LC/LC de 15m (Reaproveitado)</t>
  </si>
  <si>
    <t>Smart Luz</t>
  </si>
  <si>
    <t xml:space="preserve">RITM0097057 </t>
  </si>
  <si>
    <t>Patch Cord U/UTP 1.5m</t>
  </si>
  <si>
    <t xml:space="preserve">RITM0097112 </t>
  </si>
  <si>
    <t>FO-SM UPC LC/LC de 20m</t>
  </si>
  <si>
    <t>RITM0097221</t>
  </si>
  <si>
    <t>SMART LUZ</t>
  </si>
  <si>
    <t>UTP 6m</t>
  </si>
  <si>
    <t>RITM0097104</t>
  </si>
  <si>
    <t>Patch Cord U/UTP 3m</t>
  </si>
  <si>
    <t>RITM0097697</t>
  </si>
  <si>
    <t>RITM0101419</t>
  </si>
  <si>
    <t>RITM0101518</t>
  </si>
  <si>
    <t>FO-SM LC/LC UPC 35m</t>
  </si>
  <si>
    <t>FO-SM LC/LC UPC</t>
  </si>
  <si>
    <t>Adaptadores de FO-SM</t>
  </si>
  <si>
    <t>Patch Panel</t>
  </si>
  <si>
    <t>Caixa de conector fêmea</t>
  </si>
  <si>
    <t>Data Cable Gigalan Green U/UTP 23AWGX4P CAT.6 CZ RIB (305m)</t>
  </si>
  <si>
    <t>RITM0098808</t>
  </si>
  <si>
    <t>N/A</t>
  </si>
  <si>
    <t xml:space="preserve">RITM0100081 </t>
  </si>
  <si>
    <t>ANBIMA</t>
  </si>
  <si>
    <t xml:space="preserve">RITM0101586 </t>
  </si>
  <si>
    <t>FO-SM UPC LC/LC de 35m</t>
  </si>
  <si>
    <t>RITM0101499</t>
  </si>
  <si>
    <t>FO-SM LC/LC UPC 5m</t>
  </si>
  <si>
    <t>GLOBO</t>
  </si>
  <si>
    <t>RITM0102037</t>
  </si>
  <si>
    <t>FO-SM LC/LC UPC 15m</t>
  </si>
  <si>
    <t>RITM0102038</t>
  </si>
  <si>
    <t>W Empresas</t>
  </si>
  <si>
    <t>RITM0102086</t>
  </si>
  <si>
    <t>RITM0101502</t>
  </si>
  <si>
    <t>SPE DATA</t>
  </si>
  <si>
    <t>RITM0102506</t>
  </si>
  <si>
    <t>FO-SM LC/LC UPC 10m</t>
  </si>
  <si>
    <t>RITM0102892</t>
  </si>
  <si>
    <t>Patch Cord UTP 1.5m</t>
  </si>
  <si>
    <t>RITM0103107</t>
  </si>
  <si>
    <t>Adaptador SM LC/LC UPC</t>
  </si>
  <si>
    <t>RITM0103206</t>
  </si>
  <si>
    <t xml:space="preserve">RITM0103472 </t>
  </si>
  <si>
    <t xml:space="preserve">RITM0103745 </t>
  </si>
  <si>
    <t xml:space="preserve">RITM0103879 </t>
  </si>
  <si>
    <t>Patch Cord U/UTP 10m</t>
  </si>
  <si>
    <t xml:space="preserve">RITM0104158 </t>
  </si>
  <si>
    <t xml:space="preserve">RITM0104595  </t>
  </si>
  <si>
    <t>UTP 7m</t>
  </si>
  <si>
    <t>Material utilizado pela equipe de Facilities</t>
  </si>
  <si>
    <t>Firjan</t>
  </si>
  <si>
    <t>RITM0105129</t>
  </si>
  <si>
    <t>RITM0105280</t>
  </si>
  <si>
    <t xml:space="preserve">RITM0106027 </t>
  </si>
  <si>
    <t>2x FO-MM LC/LC 35m</t>
  </si>
  <si>
    <t>2x Acopladores MM</t>
  </si>
  <si>
    <t>FHP</t>
  </si>
  <si>
    <t>RITM0106092</t>
  </si>
  <si>
    <t>MÊS</t>
  </si>
  <si>
    <t>SITE</t>
  </si>
  <si>
    <t>Valor unitário</t>
  </si>
  <si>
    <t>JUNHO</t>
  </si>
  <si>
    <t>RJO1</t>
  </si>
  <si>
    <t>ELEA DIGITAL INFRAESTRUTURA E REDES DE TELECOMUNICACOES S.A.</t>
  </si>
  <si>
    <t>Fibra Optica Duplex  MM OM4 LC/UPC - 3mt</t>
  </si>
  <si>
    <t>Patch Cord U/UTP - 5mt</t>
  </si>
  <si>
    <t>Fibra Optica Duplex  MM OM4 LC/UPC - 10mt</t>
  </si>
  <si>
    <t>Fibra Óptica SM LC-UPC/LC-UPC - 1,5mt</t>
  </si>
  <si>
    <t>Fibra Optica Duplex MM OM4 LC/UPC - 10mt</t>
  </si>
  <si>
    <t>Patch Cord U/UTP - 3mt</t>
  </si>
  <si>
    <t>GLOBO COMUNICACAO E PARTICIPACOES S/A</t>
  </si>
  <si>
    <t>Fibra Óptica SM LC-UPC/LC-UPC - 15mt</t>
  </si>
  <si>
    <t>Fibra Óptica SM LC-UPC/LC-UPC - 40mt</t>
  </si>
  <si>
    <t>Fibra Optica Duplex MM OM4 LC/UPC - 15mt</t>
  </si>
  <si>
    <t>JULHO</t>
  </si>
  <si>
    <t>Fibra Optica Duplex MM OM4 LC/UPC - 5mt</t>
  </si>
  <si>
    <t>Fibra Optica Duplex MM OM4 LC/UPC - 3mt</t>
  </si>
  <si>
    <t>Fibra Óptica SM LC-UPC/LC-UPC - 20mt</t>
  </si>
  <si>
    <t>Fibra Óptica SM LC-UPC/LC-UPC - 50mt</t>
  </si>
  <si>
    <t>Fibra Óptica SM LC-UPC/LC-UPC - 30mt</t>
  </si>
  <si>
    <t>Patch Cord U/UTP - 15mt</t>
  </si>
  <si>
    <t>AGOSTO</t>
  </si>
  <si>
    <t>Fibra Óptica SM LC-UPC/LC-UPC - 3mt</t>
  </si>
  <si>
    <t>Fibra Óptica SM LC-UPC/LC-UPC - 25mt</t>
  </si>
  <si>
    <t>Patch Cord U/UTP - 1,5mt</t>
  </si>
  <si>
    <t>BRFIBRA TELECOMUNICACOES LTDA</t>
  </si>
  <si>
    <t>Fibra Óptica SM LC-APC/SC-APC - 40mt</t>
  </si>
  <si>
    <t>COGENT BRASIL TELECOMUNICAÇÕES LTDA</t>
  </si>
  <si>
    <t>Fibra Óptica SM LC-UPC/LC-UPC - 10mt</t>
  </si>
  <si>
    <t xml:space="preserve">	IPV7 CLOUD COMPUTING LTDA</t>
  </si>
  <si>
    <t>Fibra Óptica SM LC-UPC/LC-UPC - 5mt</t>
  </si>
  <si>
    <t xml:space="preserve">	MEGATELECOM TELECOMUNICACOES S.A.</t>
  </si>
  <si>
    <t xml:space="preserve">	UFINET BRASIL S.A.</t>
  </si>
  <si>
    <t>Patch Panel descarregado 24 portas</t>
  </si>
  <si>
    <t>SETEMBRO</t>
  </si>
  <si>
    <t>NÚCLEO DE INFORMAÇÃO E COORDENAÇÃO DO PO</t>
  </si>
  <si>
    <t>Fibra Optica Duplex MM OM4 LC/UPC - 1,5mt</t>
  </si>
  <si>
    <t>Fibra Optica Duplex MM OM4 LC/UPC - 30mt</t>
  </si>
  <si>
    <t>Fibra Optica Duplex  MM OM4 LC/UPC - 1,5mt</t>
  </si>
  <si>
    <t>Fibra Óptica SM LC-UPC/LC-UPC - 40 metros</t>
  </si>
  <si>
    <t>CREDTECH DADOS TECNOLOGIA E SISTEMAS LTDA</t>
  </si>
  <si>
    <t>Fibra Optica Duplex MM OM4 LC/UPC - 20mt</t>
  </si>
  <si>
    <t>OUTUBRO</t>
  </si>
  <si>
    <t>MORE SPEED COMUNICACOES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</si>
</sst>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</font>
    <font>
      <sz val="11"/>
      <color rgb="FF242424"/>
      <name val="Aptos Narrow"/>
      <charset val="1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/>
    <xf numFmtId="0" fontId="4" fillId="3" borderId="11" xfId="0" applyFont="1" applyFill="1" applyBorder="1" applyAlignment="1">
      <alignment horizontal="left" vertical="center" indent="1" readingOrder="1"/>
    </xf>
    <xf numFmtId="0" fontId="4" fillId="3" borderId="12" xfId="0" applyFont="1" applyFill="1" applyBorder="1" applyAlignment="1">
      <alignment horizontal="center" vertical="center" readingOrder="1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0" fontId="3" fillId="4" borderId="11" xfId="0" applyFont="1" applyFill="1" applyBorder="1" applyAlignment="1">
      <alignment horizontal="center" vertical="center" indent="1" readingOrder="1"/>
    </xf>
    <xf numFmtId="0" fontId="3" fillId="4" borderId="12" xfId="0" applyFont="1" applyFill="1" applyBorder="1" applyAlignment="1">
      <alignment vertical="center" readingOrder="1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 indent="1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indent="1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indent="1" readingOrder="1"/>
    </xf>
    <xf numFmtId="0" fontId="4" fillId="3" borderId="8" xfId="0" applyFont="1" applyFill="1" applyBorder="1" applyAlignment="1">
      <alignment horizontal="center" vertical="center" readingOrder="1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readingOrder="1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readingOrder="1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indent="1" readingOrder="1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/>
    <xf numFmtId="0" fontId="3" fillId="4" borderId="13" xfId="0" applyFont="1" applyFill="1" applyBorder="1"/>
    <xf numFmtId="0" fontId="4" fillId="0" borderId="5" xfId="0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 indent="1" readingOrder="1"/>
    </xf>
    <xf numFmtId="0" fontId="4" fillId="3" borderId="1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indent="1"/>
    </xf>
    <xf numFmtId="0" fontId="3" fillId="3" borderId="1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9" xfId="0" applyFont="1" applyFill="1" applyBorder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8" fontId="0" fillId="0" borderId="19" xfId="0" applyNumberForma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7" fillId="0" borderId="5" xfId="0" applyFont="1" applyBorder="1" applyAlignment="1">
      <alignment horizontal="left" vertical="center" indent="1" readingOrder="1"/>
    </xf>
    <xf numFmtId="0" fontId="0" fillId="5" borderId="5" xfId="0" applyFill="1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4" fillId="0" borderId="0" xfId="0" applyFont="1" applyAlignment="1">
      <alignment horizontal="center" vertical="center" indent="1" readingOrder="1"/>
    </xf>
    <xf numFmtId="0" fontId="0" fillId="3" borderId="1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7" borderId="21" xfId="0" applyFont="1" applyFill="1" applyBorder="1" applyAlignment="1">
      <alignment horizontal="center" vertical="center"/>
    </xf>
    <xf numFmtId="164" fontId="10" fillId="7" borderId="2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indent="1" readingOrder="1"/>
    </xf>
    <xf numFmtId="0" fontId="0" fillId="3" borderId="0" xfId="0" applyFill="1"/>
    <xf numFmtId="0" fontId="0" fillId="8" borderId="0" xfId="0" applyFill="1"/>
    <xf numFmtId="0" fontId="0" fillId="0" borderId="15" xfId="0" applyBorder="1" applyAlignment="1">
      <alignment horizontal="center" vertical="center"/>
    </xf>
    <xf numFmtId="0" fontId="0" fillId="9" borderId="0" xfId="0" applyFill="1"/>
    <xf numFmtId="0" fontId="0" fillId="5" borderId="0" xfId="0" applyFill="1"/>
    <xf numFmtId="0" fontId="0" fillId="10" borderId="18" xfId="0" applyFill="1" applyBorder="1" applyAlignment="1">
      <alignment horizontal="center"/>
    </xf>
    <xf numFmtId="0" fontId="9" fillId="0" borderId="5" xfId="0" applyFont="1" applyBorder="1" applyAlignment="1">
      <alignment horizontal="center" vertical="center" indent="1" readingOrder="1"/>
    </xf>
    <xf numFmtId="0" fontId="9" fillId="0" borderId="5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indent="1" readingOrder="1"/>
    </xf>
    <xf numFmtId="0" fontId="4" fillId="0" borderId="2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readingOrder="1"/>
    </xf>
    <xf numFmtId="0" fontId="0" fillId="5" borderId="16" xfId="0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5" borderId="17" xfId="0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5" borderId="1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8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11" xfId="0" applyFont="1" applyBorder="1" applyAlignment="1">
      <alignment horizontal="center" vertical="center" indent="1" readingOrder="1"/>
    </xf>
    <xf numFmtId="0" fontId="13" fillId="0" borderId="5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1">
    <cellStyle name="Normal" xfId="0" builtinId="0"/>
  </cellStyles>
  <dxfs count="26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Afonso" id="{2E861B55-0661-420F-A4DF-DB09F1AF39BA}" userId="S::pedro.afonso@piemonteholding.com::4d26ca8e-e46c-4594-aa84-cf07985d42e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56" dT="2025-06-01T12:23:36.39" personId="{2E861B55-0661-420F-A4DF-DB09F1AF39BA}" id="{076D6C0E-FBC7-4031-BBF5-DDD8553E37BC}">
    <text>Saída de 8 mas só tinham 4 no estoque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1FAE-2A11-4303-9255-AF70ECF8F971}">
  <sheetPr>
    <pageSetUpPr fitToPage="1"/>
  </sheetPr>
  <dimension ref="A1:E98"/>
  <sheetViews>
    <sheetView tabSelected="1" topLeftCell="A58" workbookViewId="0">
      <selection activeCell="B74" sqref="B74"/>
    </sheetView>
  </sheetViews>
  <sheetFormatPr defaultColWidth="9.140625" defaultRowHeight="13.15"/>
  <cols>
    <col min="1" max="1" width="105.42578125" style="6" customWidth="1"/>
    <col min="2" max="2" width="20.140625" style="57" bestFit="1" customWidth="1"/>
    <col min="3" max="3" width="17.85546875" style="58" bestFit="1" customWidth="1"/>
    <col min="4" max="4" width="26.7109375" style="6" customWidth="1"/>
    <col min="5" max="5" width="1.140625" style="6" customWidth="1"/>
    <col min="6" max="16384" width="9.140625" style="6"/>
  </cols>
  <sheetData>
    <row r="1" spans="1:5">
      <c r="A1" s="2" t="s">
        <v>0</v>
      </c>
      <c r="B1" s="3" t="s">
        <v>1</v>
      </c>
      <c r="C1" s="3" t="s">
        <v>2</v>
      </c>
      <c r="D1" s="4" t="s">
        <v>3</v>
      </c>
      <c r="E1" s="5"/>
    </row>
    <row r="2" spans="1:5" ht="21.75" customHeight="1">
      <c r="A2" s="7"/>
      <c r="B2" s="8"/>
      <c r="C2" s="9"/>
      <c r="D2" s="10"/>
      <c r="E2" s="11"/>
    </row>
    <row r="3" spans="1:5" ht="13.5" customHeight="1">
      <c r="A3" s="12" t="s">
        <v>4</v>
      </c>
      <c r="B3" s="13"/>
      <c r="C3" s="14"/>
      <c r="D3" s="15"/>
      <c r="E3" s="11"/>
    </row>
    <row r="4" spans="1:5" ht="13.5" customHeight="1">
      <c r="A4" s="16" t="s">
        <v>5</v>
      </c>
      <c r="B4" s="17">
        <v>11</v>
      </c>
      <c r="C4" s="18">
        <v>10</v>
      </c>
      <c r="D4" s="19" t="str" cm="1">
        <f t="array" ref="D4">_xlfn.IFS(B4&lt;C4,"NECESSITA REPOSIÇÃO",B4&gt;=C4, "ESTOQUE OK")</f>
        <v>ESTOQUE OK</v>
      </c>
      <c r="E4" s="11"/>
    </row>
    <row r="5" spans="1:5" ht="13.5" customHeight="1">
      <c r="A5" s="20" t="s">
        <v>6</v>
      </c>
      <c r="B5" s="21">
        <v>10</v>
      </c>
      <c r="C5" s="18">
        <v>10</v>
      </c>
      <c r="D5" s="22" t="str" cm="1">
        <f t="array" ref="D5">_xlfn.IFS(B5&lt;C5,"NECESSITA REPOSIÇÃO",B5&gt;=C5, "ESTOQUE OK")</f>
        <v>ESTOQUE OK</v>
      </c>
      <c r="E5" s="11"/>
    </row>
    <row r="6" spans="1:5" ht="13.5" customHeight="1">
      <c r="A6" s="20" t="s">
        <v>7</v>
      </c>
      <c r="B6" s="21">
        <v>10</v>
      </c>
      <c r="C6" s="18">
        <v>10</v>
      </c>
      <c r="D6" s="22" t="str" cm="1">
        <f t="array" ref="D6">_xlfn.IFS(B6&lt;C6,"NECESSITA REPOSIÇÃO",B6&gt;=C6, "ESTOQUE OK")</f>
        <v>ESTOQUE OK</v>
      </c>
      <c r="E6" s="11"/>
    </row>
    <row r="7" spans="1:5" ht="13.5" customHeight="1">
      <c r="A7" s="20" t="s">
        <v>8</v>
      </c>
      <c r="B7" s="21">
        <v>8</v>
      </c>
      <c r="C7" s="18">
        <v>10</v>
      </c>
      <c r="D7" s="22" t="str" cm="1">
        <f t="array" ref="D7">_xlfn.IFS(B7&lt;C7,"NECESSITA REPOSIÇÃO",B7&gt;=C7, "ESTOQUE OK")</f>
        <v>NECESSITA REPOSIÇÃO</v>
      </c>
      <c r="E7" s="11"/>
    </row>
    <row r="8" spans="1:5" ht="13.5" customHeight="1">
      <c r="A8" s="20" t="s">
        <v>9</v>
      </c>
      <c r="B8" s="21">
        <v>10</v>
      </c>
      <c r="C8" s="18">
        <v>10</v>
      </c>
      <c r="D8" s="22" t="str" cm="1">
        <f t="array" ref="D8">_xlfn.IFS(B8&lt;C8,"NECESSITA REPOSIÇÃO",B8&gt;=C8, "ESTOQUE OK")</f>
        <v>ESTOQUE OK</v>
      </c>
      <c r="E8" s="11"/>
    </row>
    <row r="9" spans="1:5" ht="13.5" customHeight="1">
      <c r="A9" s="20" t="s">
        <v>10</v>
      </c>
      <c r="B9" s="21">
        <v>27</v>
      </c>
      <c r="C9" s="18">
        <v>10</v>
      </c>
      <c r="D9" s="22" t="str" cm="1">
        <f t="array" ref="D9">_xlfn.IFS(B9&lt;C9,"NECESSITA REPOSIÇÃO",B9&gt;=C9, "ESTOQUE OK")</f>
        <v>ESTOQUE OK</v>
      </c>
      <c r="E9" s="11"/>
    </row>
    <row r="10" spans="1:5" ht="13.5" customHeight="1">
      <c r="A10" s="20" t="s">
        <v>11</v>
      </c>
      <c r="B10" s="21">
        <v>10</v>
      </c>
      <c r="C10" s="18">
        <v>10</v>
      </c>
      <c r="D10" s="22" t="str" cm="1">
        <f t="array" ref="D10">_xlfn.IFS(B10&lt;C10,"NECESSITA REPOSIÇÃO",B10&gt;=C10, "ESTOQUE OK")</f>
        <v>ESTOQUE OK</v>
      </c>
      <c r="E10" s="11"/>
    </row>
    <row r="11" spans="1:5" ht="13.5" customHeight="1">
      <c r="A11" s="20" t="s">
        <v>12</v>
      </c>
      <c r="B11" s="21">
        <v>11</v>
      </c>
      <c r="C11" s="18">
        <v>10</v>
      </c>
      <c r="D11" s="22" t="str" cm="1">
        <f t="array" ref="D11">_xlfn.IFS(B11&lt;C11,"NECESSITA REPOSIÇÃO",B11&gt;=C11, "ESTOQUE OK")</f>
        <v>ESTOQUE OK</v>
      </c>
      <c r="E11" s="11"/>
    </row>
    <row r="12" spans="1:5" ht="13.5" customHeight="1">
      <c r="A12" s="20" t="s">
        <v>13</v>
      </c>
      <c r="B12" s="21">
        <v>8</v>
      </c>
      <c r="C12" s="18">
        <v>10</v>
      </c>
      <c r="D12" s="22" t="str" cm="1">
        <f t="array" ref="D12">_xlfn.IFS(B12&lt;C12,"NECESSITA REPOSIÇÃO",B12&gt;=C12, "ESTOQUE OK")</f>
        <v>NECESSITA REPOSIÇÃO</v>
      </c>
      <c r="E12" s="11"/>
    </row>
    <row r="13" spans="1:5" ht="13.5" customHeight="1">
      <c r="A13" s="20" t="s">
        <v>14</v>
      </c>
      <c r="B13" s="21">
        <v>11</v>
      </c>
      <c r="C13" s="18">
        <v>10</v>
      </c>
      <c r="D13" s="22" t="str" cm="1">
        <f t="array" ref="D13">_xlfn.IFS(B13&lt;C13,"NECESSITA REPOSIÇÃO",B13&gt;=C13, "ESTOQUE OK")</f>
        <v>ESTOQUE OK</v>
      </c>
      <c r="E13" s="11"/>
    </row>
    <row r="14" spans="1:5" ht="13.5" customHeight="1">
      <c r="A14" s="20" t="s">
        <v>15</v>
      </c>
      <c r="B14" s="21">
        <v>15</v>
      </c>
      <c r="C14" s="18">
        <v>10</v>
      </c>
      <c r="D14" s="22" t="str" cm="1">
        <f t="array" ref="D14">_xlfn.IFS(B14&lt;C14,"NECESSITA REPOSIÇÃO",B14&gt;=C14, "ESTOQUE OK")</f>
        <v>ESTOQUE OK</v>
      </c>
      <c r="E14" s="11"/>
    </row>
    <row r="15" spans="1:5" ht="7.5" customHeight="1">
      <c r="A15" s="23"/>
      <c r="B15" s="24"/>
      <c r="C15" s="25"/>
      <c r="D15" s="26"/>
      <c r="E15" s="11"/>
    </row>
    <row r="16" spans="1:5" ht="13.5" customHeight="1">
      <c r="A16" s="12" t="s">
        <v>16</v>
      </c>
      <c r="B16" s="27"/>
      <c r="C16" s="28"/>
      <c r="D16" s="29"/>
      <c r="E16" s="11"/>
    </row>
    <row r="17" spans="1:5" ht="13.5" customHeight="1">
      <c r="A17" s="16" t="s">
        <v>17</v>
      </c>
      <c r="B17" s="17">
        <v>8</v>
      </c>
      <c r="C17" s="18">
        <v>5</v>
      </c>
      <c r="D17" s="19" t="str" cm="1">
        <f t="array" ref="D17">_xlfn.IFS(B17&lt;C17,"NECESSITA REPOSIÇÃO",B17&gt;=C17, "ESTOQUE OK")</f>
        <v>ESTOQUE OK</v>
      </c>
      <c r="E17" s="11"/>
    </row>
    <row r="18" spans="1:5" ht="13.5" customHeight="1">
      <c r="A18" s="20" t="s">
        <v>18</v>
      </c>
      <c r="B18" s="21">
        <v>9</v>
      </c>
      <c r="C18" s="18">
        <v>5</v>
      </c>
      <c r="D18" s="22" t="str" cm="1">
        <f t="array" ref="D18">_xlfn.IFS(B18&lt;C18,"NECESSITA REPOSIÇÃO",B18&gt;=C18, "ESTOQUE OK")</f>
        <v>ESTOQUE OK</v>
      </c>
      <c r="E18" s="11"/>
    </row>
    <row r="19" spans="1:5" ht="13.5" customHeight="1">
      <c r="A19" s="20" t="s">
        <v>19</v>
      </c>
      <c r="B19" s="21">
        <v>8</v>
      </c>
      <c r="C19" s="18">
        <v>5</v>
      </c>
      <c r="D19" s="22" t="str" cm="1">
        <f t="array" ref="D19">_xlfn.IFS(B19&lt;C19,"NECESSITA REPOSIÇÃO",B19&gt;=C19, "ESTOQUE OK")</f>
        <v>ESTOQUE OK</v>
      </c>
      <c r="E19" s="11"/>
    </row>
    <row r="20" spans="1:5" ht="13.5" customHeight="1">
      <c r="A20" s="20" t="s">
        <v>20</v>
      </c>
      <c r="B20" s="21">
        <v>10</v>
      </c>
      <c r="C20" s="18">
        <v>5</v>
      </c>
      <c r="D20" s="22" t="str" cm="1">
        <f t="array" ref="D20">_xlfn.IFS(B20&lt;C20,"NECESSITA REPOSIÇÃO",B20&gt;=C20, "ESTOQUE OK")</f>
        <v>ESTOQUE OK</v>
      </c>
      <c r="E20" s="11"/>
    </row>
    <row r="21" spans="1:5" ht="7.5" customHeight="1">
      <c r="A21" s="23"/>
      <c r="B21" s="24"/>
      <c r="C21" s="25"/>
      <c r="D21" s="26"/>
      <c r="E21" s="11"/>
    </row>
    <row r="22" spans="1:5" ht="13.5" customHeight="1">
      <c r="A22" s="12" t="s">
        <v>21</v>
      </c>
      <c r="B22" s="31"/>
      <c r="C22" s="32"/>
      <c r="D22" s="33"/>
      <c r="E22" s="11"/>
    </row>
    <row r="23" spans="1:5" ht="13.5" customHeight="1">
      <c r="A23" s="16" t="s">
        <v>22</v>
      </c>
      <c r="B23" s="128">
        <v>20</v>
      </c>
      <c r="C23" s="18">
        <v>20</v>
      </c>
      <c r="D23" s="19" t="str" cm="1">
        <f t="array" ref="D23">_xlfn.IFS(B23&lt;C23,"NECESSITA REPOSIÇÃO",B23&gt;=C23, "ESTOQUE OK")</f>
        <v>ESTOQUE OK</v>
      </c>
      <c r="E23" s="11"/>
    </row>
    <row r="24" spans="1:5" ht="13.5" customHeight="1">
      <c r="A24" s="129" t="s">
        <v>23</v>
      </c>
      <c r="B24" s="128">
        <v>16</v>
      </c>
      <c r="C24" s="59">
        <v>20</v>
      </c>
      <c r="D24" s="19" t="str" cm="1">
        <f t="array" ref="D24">_xlfn.IFS(B24&lt;C24,"NECESSITA REPOSIÇÃO",B24&gt;=C24, "ESTOQUE OK")</f>
        <v>NECESSITA REPOSIÇÃO</v>
      </c>
      <c r="E24" s="11"/>
    </row>
    <row r="25" spans="1:5" ht="13.5" customHeight="1">
      <c r="A25" s="34" t="s">
        <v>24</v>
      </c>
      <c r="B25" s="130">
        <v>12</v>
      </c>
      <c r="C25" s="35">
        <v>20</v>
      </c>
      <c r="D25" s="36" t="str" cm="1">
        <f t="array" ref="D25">_xlfn.IFS(B25&lt;C25,"NECESSITA REPOSIÇÃO",B25&gt;=C25, "ESTOQUE OK")</f>
        <v>NECESSITA REPOSIÇÃO</v>
      </c>
      <c r="E25" s="11"/>
    </row>
    <row r="26" spans="1:5" ht="13.5" customHeight="1">
      <c r="A26" s="20" t="s">
        <v>25</v>
      </c>
      <c r="B26" s="131">
        <v>7</v>
      </c>
      <c r="C26" s="30">
        <v>20</v>
      </c>
      <c r="D26" s="22" t="str" cm="1">
        <f t="array" ref="D26">_xlfn.IFS(B26&lt;C26,"NECESSITA REPOSIÇÃO",B26&gt;=C26, "ESTOQUE OK")</f>
        <v>NECESSITA REPOSIÇÃO</v>
      </c>
      <c r="E26" s="11"/>
    </row>
    <row r="27" spans="1:5" ht="13.5" customHeight="1">
      <c r="A27" s="20" t="s">
        <v>26</v>
      </c>
      <c r="B27" s="128">
        <v>14</v>
      </c>
      <c r="C27" s="30">
        <v>20</v>
      </c>
      <c r="D27" s="22" t="str" cm="1">
        <f t="array" ref="D27">_xlfn.IFS(B27&lt;C27,"NECESSITA REPOSIÇÃO",B27&gt;=C27, "ESTOQUE OK")</f>
        <v>NECESSITA REPOSIÇÃO</v>
      </c>
      <c r="E27" s="11"/>
    </row>
    <row r="28" spans="1:5" ht="13.5" customHeight="1">
      <c r="A28" s="20" t="s">
        <v>17</v>
      </c>
      <c r="B28" s="128">
        <v>18</v>
      </c>
      <c r="C28" s="30">
        <v>20</v>
      </c>
      <c r="D28" s="22" t="str" cm="1">
        <f t="array" ref="D28">_xlfn.IFS(B28&lt;C28,"NECESSITA REPOSIÇÃO",B28&gt;=C28, "ESTOQUE OK")</f>
        <v>NECESSITA REPOSIÇÃO</v>
      </c>
      <c r="E28" s="11"/>
    </row>
    <row r="29" spans="1:5" ht="13.5" customHeight="1">
      <c r="A29" s="20" t="s">
        <v>27</v>
      </c>
      <c r="B29" s="91">
        <v>28</v>
      </c>
      <c r="C29" s="30">
        <v>20</v>
      </c>
      <c r="D29" s="22" t="str" cm="1">
        <f t="array" ref="D29">_xlfn.IFS(B29&lt;C29,"NECESSITA REPOSIÇÃO",B29&gt;=C29, "ESTOQUE OK")</f>
        <v>ESTOQUE OK</v>
      </c>
      <c r="E29" s="11"/>
    </row>
    <row r="30" spans="1:5" ht="13.5" customHeight="1">
      <c r="A30" s="20" t="s">
        <v>18</v>
      </c>
      <c r="B30" s="91">
        <v>20</v>
      </c>
      <c r="C30" s="30">
        <v>20</v>
      </c>
      <c r="D30" s="22" t="str" cm="1">
        <f t="array" ref="D30">_xlfn.IFS(B30&lt;C30,"NECESSITA REPOSIÇÃO",B30&gt;=C30, "ESTOQUE OK")</f>
        <v>ESTOQUE OK</v>
      </c>
      <c r="E30" s="11"/>
    </row>
    <row r="31" spans="1:5" ht="13.5" customHeight="1">
      <c r="A31" s="20" t="s">
        <v>19</v>
      </c>
      <c r="B31" s="91">
        <v>12</v>
      </c>
      <c r="C31" s="30">
        <v>10</v>
      </c>
      <c r="D31" s="22" t="str" cm="1">
        <f t="array" ref="D31">_xlfn.IFS(B31&lt;C31,"NECESSITA REPOSIÇÃO",B31&gt;=C31, "ESTOQUE OK")</f>
        <v>ESTOQUE OK</v>
      </c>
      <c r="E31" s="11"/>
    </row>
    <row r="32" spans="1:5" ht="13.5" customHeight="1">
      <c r="A32" s="20" t="s">
        <v>20</v>
      </c>
      <c r="B32" s="91">
        <v>30</v>
      </c>
      <c r="C32" s="30">
        <v>10</v>
      </c>
      <c r="D32" s="22" t="str" cm="1">
        <f t="array" ref="D32">_xlfn.IFS(B32&lt;C32,"NECESSITA REPOSIÇÃO",B32&gt;=C32, "ESTOQUE OK")</f>
        <v>ESTOQUE OK</v>
      </c>
      <c r="E32" s="11"/>
    </row>
    <row r="33" spans="1:5" ht="13.5" customHeight="1">
      <c r="A33" s="20" t="s">
        <v>28</v>
      </c>
      <c r="B33" s="91">
        <v>17</v>
      </c>
      <c r="C33" s="30">
        <v>10</v>
      </c>
      <c r="D33" s="22" t="str" cm="1">
        <f t="array" ref="D33">_xlfn.IFS(B33&lt;C33,"NECESSITA REPOSIÇÃO",B33&gt;=C33, "ESTOQUE OK")</f>
        <v>ESTOQUE OK</v>
      </c>
      <c r="E33" s="11"/>
    </row>
    <row r="34" spans="1:5" ht="7.5" customHeight="1">
      <c r="A34" s="23"/>
      <c r="B34" s="24"/>
      <c r="C34" s="25"/>
      <c r="D34" s="25"/>
      <c r="E34" s="11"/>
    </row>
    <row r="35" spans="1:5" ht="13.5" customHeight="1">
      <c r="A35" s="37" t="s">
        <v>29</v>
      </c>
      <c r="B35" s="38"/>
      <c r="C35" s="39"/>
      <c r="D35" s="38"/>
      <c r="E35" s="11"/>
    </row>
    <row r="36" spans="1:5" ht="13.5" customHeight="1">
      <c r="A36" s="16" t="s">
        <v>24</v>
      </c>
      <c r="B36" s="128">
        <v>2</v>
      </c>
      <c r="C36" s="18">
        <v>3</v>
      </c>
      <c r="D36" s="19" t="str" cm="1">
        <f t="array" ref="D36">_xlfn.IFS(B36&lt;C36,"NECESSITA REPOSIÇÃO",B36&gt;=C36, "ESTOQUE OK")</f>
        <v>NECESSITA REPOSIÇÃO</v>
      </c>
      <c r="E36" s="11"/>
    </row>
    <row r="37" spans="1:5" ht="13.5" customHeight="1">
      <c r="A37" s="16" t="s">
        <v>25</v>
      </c>
      <c r="B37" s="128">
        <v>5</v>
      </c>
      <c r="C37" s="18">
        <v>3</v>
      </c>
      <c r="D37" s="19" t="str" cm="1">
        <f t="array" ref="D37">_xlfn.IFS(B37&lt;C37,"NECESSITA REPOSIÇÃO",B37&gt;=C37, "ESTOQUE OK")</f>
        <v>ESTOQUE OK</v>
      </c>
      <c r="E37" s="11"/>
    </row>
    <row r="38" spans="1:5" ht="13.5" customHeight="1">
      <c r="A38" s="20" t="s">
        <v>17</v>
      </c>
      <c r="B38" s="128">
        <v>3</v>
      </c>
      <c r="C38" s="18">
        <v>3</v>
      </c>
      <c r="D38" s="22" t="str" cm="1">
        <f t="array" ref="D38">_xlfn.IFS(B38&lt;C38,"NECESSITA REPOSIÇÃO",B38&gt;=C38, "ESTOQUE OK")</f>
        <v>ESTOQUE OK</v>
      </c>
      <c r="E38" s="11"/>
    </row>
    <row r="39" spans="1:5" ht="13.5" customHeight="1">
      <c r="A39" s="20" t="s">
        <v>18</v>
      </c>
      <c r="B39" s="128">
        <v>3</v>
      </c>
      <c r="C39" s="18">
        <v>3</v>
      </c>
      <c r="D39" s="22" t="str" cm="1">
        <f t="array" ref="D39">_xlfn.IFS(B39&lt;C39,"NECESSITA REPOSIÇÃO",B39&gt;=C39, "ESTOQUE OK")</f>
        <v>ESTOQUE OK</v>
      </c>
      <c r="E39" s="11"/>
    </row>
    <row r="40" spans="1:5" ht="13.5" customHeight="1">
      <c r="A40" s="20" t="s">
        <v>19</v>
      </c>
      <c r="B40" s="128">
        <v>3</v>
      </c>
      <c r="C40" s="30">
        <v>3</v>
      </c>
      <c r="D40" s="22" t="str" cm="1">
        <f t="array" ref="D40">_xlfn.IFS(B40&lt;C40,"NECESSITA REPOSIÇÃO",B40&gt;=C40, "ESTOQUE OK")</f>
        <v>ESTOQUE OK</v>
      </c>
      <c r="E40" s="11"/>
    </row>
    <row r="41" spans="1:5" ht="13.5" customHeight="1">
      <c r="A41" s="20" t="s">
        <v>20</v>
      </c>
      <c r="B41" s="128">
        <v>5</v>
      </c>
      <c r="C41" s="30">
        <v>3</v>
      </c>
      <c r="D41" s="22" t="str" cm="1">
        <f t="array" ref="D41">_xlfn.IFS(B41&lt;C41,"NECESSITA REPOSIÇÃO",B41&gt;=C41, "ESTOQUE OK")</f>
        <v>ESTOQUE OK</v>
      </c>
      <c r="E41" s="11"/>
    </row>
    <row r="42" spans="1:5" ht="7.5" customHeight="1">
      <c r="A42" s="23"/>
      <c r="B42" s="24"/>
      <c r="C42" s="25"/>
      <c r="D42" s="25"/>
      <c r="E42" s="11"/>
    </row>
    <row r="43" spans="1:5" ht="13.5" customHeight="1">
      <c r="A43" s="40" t="s">
        <v>30</v>
      </c>
      <c r="B43" s="14"/>
      <c r="C43" s="14"/>
      <c r="D43" s="42"/>
      <c r="E43" s="11"/>
    </row>
    <row r="44" spans="1:5" ht="13.5" customHeight="1">
      <c r="A44" s="20" t="s">
        <v>22</v>
      </c>
      <c r="B44" s="131">
        <v>1</v>
      </c>
      <c r="C44" s="43">
        <v>10</v>
      </c>
      <c r="D44" s="22" t="str" cm="1">
        <f t="array" ref="D44">_xlfn.IFS(B44&lt;C44,"NECESSITA REPOSIÇÃO",B44&gt;=C44, "ESTOQUE OK")</f>
        <v>NECESSITA REPOSIÇÃO</v>
      </c>
      <c r="E44" s="11"/>
    </row>
    <row r="45" spans="1:5" ht="13.5" customHeight="1">
      <c r="A45" s="20" t="s">
        <v>23</v>
      </c>
      <c r="B45" s="128">
        <v>8</v>
      </c>
      <c r="C45" s="43">
        <v>10</v>
      </c>
      <c r="D45" s="22" t="str" cm="1">
        <f t="array" ref="D45">_xlfn.IFS(B45&lt;C45,"NECESSITA REPOSIÇÃO",B45&gt;=C45, "ESTOQUE OK")</f>
        <v>NECESSITA REPOSIÇÃO</v>
      </c>
      <c r="E45" s="11"/>
    </row>
    <row r="46" spans="1:5" ht="13.5" customHeight="1">
      <c r="A46" s="20" t="s">
        <v>24</v>
      </c>
      <c r="B46" s="128">
        <v>13</v>
      </c>
      <c r="C46" s="43">
        <v>10</v>
      </c>
      <c r="D46" s="22" t="str" cm="1">
        <f t="array" ref="D46">_xlfn.IFS(B46&lt;C46,"NECESSITA REPOSIÇÃO",B46&gt;=C46, "ESTOQUE OK")</f>
        <v>ESTOQUE OK</v>
      </c>
      <c r="E46" s="11"/>
    </row>
    <row r="47" spans="1:5" ht="13.5" customHeight="1">
      <c r="A47" s="20" t="s">
        <v>25</v>
      </c>
      <c r="B47" s="128">
        <v>7</v>
      </c>
      <c r="C47" s="43">
        <v>10</v>
      </c>
      <c r="D47" s="22" t="str" cm="1">
        <f t="array" ref="D47">_xlfn.IFS(B47&lt;C47,"NECESSITA REPOSIÇÃO",B47&gt;=C47, "ESTOQUE OK")</f>
        <v>NECESSITA REPOSIÇÃO</v>
      </c>
      <c r="E47" s="11"/>
    </row>
    <row r="48" spans="1:5" ht="13.5" customHeight="1">
      <c r="A48" s="20" t="s">
        <v>26</v>
      </c>
      <c r="B48" s="128">
        <v>1</v>
      </c>
      <c r="C48" s="43">
        <v>10</v>
      </c>
      <c r="D48" s="22" t="str" cm="1">
        <f t="array" ref="D48">_xlfn.IFS(B48&lt;C48,"NECESSITA REPOSIÇÃO",B48&gt;=C48, "ESTOQUE OK")</f>
        <v>NECESSITA REPOSIÇÃO</v>
      </c>
      <c r="E48" s="11"/>
    </row>
    <row r="49" spans="1:5" ht="7.5" customHeight="1">
      <c r="A49" s="44">
        <v>0</v>
      </c>
      <c r="B49" s="8"/>
      <c r="C49" s="45"/>
      <c r="D49" s="10"/>
      <c r="E49" s="11"/>
    </row>
    <row r="50" spans="1:5" ht="13.5" customHeight="1">
      <c r="A50" s="40" t="s">
        <v>31</v>
      </c>
      <c r="B50" s="41"/>
      <c r="C50" s="14"/>
      <c r="D50" s="42"/>
      <c r="E50" s="11"/>
    </row>
    <row r="51" spans="1:5" ht="13.5" customHeight="1">
      <c r="A51" s="20" t="s">
        <v>32</v>
      </c>
      <c r="B51" s="21">
        <v>2</v>
      </c>
      <c r="C51" s="43">
        <v>2</v>
      </c>
      <c r="D51" s="22" t="str" cm="1">
        <f t="array" ref="D51">_xlfn.IFS(B51&lt;C51,"NECESSITA REPOSIÇÃO",B51&gt;=C51, "ESTOQUE OK")</f>
        <v>ESTOQUE OK</v>
      </c>
      <c r="E51" s="11"/>
    </row>
    <row r="52" spans="1:5" ht="13.5" customHeight="1">
      <c r="A52" s="20" t="s">
        <v>33</v>
      </c>
      <c r="B52" s="21">
        <v>59</v>
      </c>
      <c r="C52" s="43">
        <v>50</v>
      </c>
      <c r="D52" s="22" t="str" cm="1">
        <f t="array" ref="D52">_xlfn.IFS(B52&lt;C52,"NECESSITA REPOSIÇÃO",B52&gt;=C52, "ESTOQUE OK")</f>
        <v>ESTOQUE OK</v>
      </c>
      <c r="E52" s="11"/>
    </row>
    <row r="53" spans="1:5" ht="13.5" customHeight="1">
      <c r="A53" s="20" t="s">
        <v>34</v>
      </c>
      <c r="B53" s="21">
        <v>37</v>
      </c>
      <c r="C53" s="43">
        <v>40</v>
      </c>
      <c r="D53" s="22" t="str" cm="1">
        <f t="array" ref="D53">_xlfn.IFS(B53&lt;C53,"NECESSITA REPOSIÇÃO",B53&gt;=C53, "ESTOQUE OK")</f>
        <v>NECESSITA REPOSIÇÃO</v>
      </c>
      <c r="E53" s="11"/>
    </row>
    <row r="54" spans="1:5" ht="13.5" customHeight="1">
      <c r="A54" s="20" t="s">
        <v>35</v>
      </c>
      <c r="B54" s="21">
        <v>20</v>
      </c>
      <c r="C54" s="43">
        <v>20</v>
      </c>
      <c r="D54" s="22" t="str" cm="1">
        <f t="array" ref="D54">_xlfn.IFS(B54&lt;C54,"NECESSITA REPOSIÇÃO",B54&gt;=C54, "ESTOQUE OK")</f>
        <v>ESTOQUE OK</v>
      </c>
      <c r="E54" s="11"/>
    </row>
    <row r="55" spans="1:5" ht="12.75" customHeight="1">
      <c r="A55" s="20" t="s">
        <v>36</v>
      </c>
      <c r="B55" s="21">
        <v>20</v>
      </c>
      <c r="C55" s="43">
        <v>20</v>
      </c>
      <c r="D55" s="22" t="str" cm="1">
        <f t="array" ref="D55">_xlfn.IFS(B55&lt;C55,"NECESSITA REPOSIÇÃO",B55&gt;=C55, "ESTOQUE OK")</f>
        <v>ESTOQUE OK</v>
      </c>
      <c r="E55" s="11"/>
    </row>
    <row r="56" spans="1:5" ht="7.5" customHeight="1">
      <c r="A56" s="5"/>
      <c r="B56" s="11"/>
      <c r="C56" s="46"/>
      <c r="D56" s="11"/>
      <c r="E56" s="11"/>
    </row>
    <row r="57" spans="1:5" ht="13.5" customHeight="1">
      <c r="A57" s="47" t="s">
        <v>37</v>
      </c>
      <c r="B57" s="47"/>
      <c r="C57" s="47"/>
      <c r="D57" s="47"/>
      <c r="E57" s="11"/>
    </row>
    <row r="58" spans="1:5" ht="13.5" customHeight="1">
      <c r="A58" s="34" t="s">
        <v>38</v>
      </c>
      <c r="B58" s="92">
        <v>14</v>
      </c>
      <c r="C58" s="48">
        <v>20</v>
      </c>
      <c r="D58" s="36" t="str" cm="1">
        <f t="array" ref="D58">_xlfn.IFS(B58&lt;C58,"NECESSITA REPOSIÇÃO",B58&gt;=C58, "ESTOQUE OK")</f>
        <v>NECESSITA REPOSIÇÃO</v>
      </c>
      <c r="E58" s="11"/>
    </row>
    <row r="59" spans="1:5" ht="7.5" customHeight="1">
      <c r="A59" s="5"/>
      <c r="B59" s="11"/>
      <c r="C59" s="46"/>
      <c r="D59" s="11"/>
      <c r="E59" s="11"/>
    </row>
    <row r="60" spans="1:5" ht="13.5" customHeight="1">
      <c r="A60" s="47" t="s">
        <v>39</v>
      </c>
      <c r="B60" s="47"/>
      <c r="C60" s="47"/>
      <c r="D60" s="47"/>
      <c r="E60" s="11"/>
    </row>
    <row r="61" spans="1:5" ht="13.5" customHeight="1">
      <c r="A61" s="20" t="s">
        <v>40</v>
      </c>
      <c r="B61" s="21">
        <v>51</v>
      </c>
      <c r="C61" s="43">
        <v>30</v>
      </c>
      <c r="D61" s="22" t="str" cm="1">
        <f t="array" ref="D61">_xlfn.IFS(B61&lt;C61,"NECESSITA REPOSIÇÃO",B61&gt;=C61, "ESTOQUE OK")</f>
        <v>ESTOQUE OK</v>
      </c>
      <c r="E61" s="11"/>
    </row>
    <row r="62" spans="1:5" ht="13.5" customHeight="1">
      <c r="A62" s="20" t="s">
        <v>41</v>
      </c>
      <c r="B62" s="21">
        <v>27</v>
      </c>
      <c r="C62" s="43">
        <v>50</v>
      </c>
      <c r="D62" s="22" t="str" cm="1">
        <f t="array" ref="D62">_xlfn.IFS(B62&lt;C62,"NECESSITA REPOSIÇÃO",B62&gt;=C62, "ESTOQUE OK")</f>
        <v>NECESSITA REPOSIÇÃO</v>
      </c>
      <c r="E62" s="11"/>
    </row>
    <row r="63" spans="1:5" ht="13.5" customHeight="1">
      <c r="A63" s="20" t="s">
        <v>42</v>
      </c>
      <c r="B63" s="21">
        <v>50</v>
      </c>
      <c r="C63" s="43">
        <v>50</v>
      </c>
      <c r="D63" s="22" t="str" cm="1">
        <f t="array" ref="D63">_xlfn.IFS(B63&lt;C63,"NECESSITA REPOSIÇÃO",B63&gt;=C63, "ESTOQUE OK")</f>
        <v>ESTOQUE OK</v>
      </c>
      <c r="E63" s="11"/>
    </row>
    <row r="64" spans="1:5" ht="13.5" customHeight="1">
      <c r="A64" s="20" t="s">
        <v>43</v>
      </c>
      <c r="B64" s="21">
        <v>71</v>
      </c>
      <c r="C64" s="43">
        <v>30</v>
      </c>
      <c r="D64" s="22" t="str" cm="1">
        <f t="array" ref="D64">_xlfn.IFS(B64&lt;C64,"NECESSITA REPOSIÇÃO",B64&gt;=C64, "ESTOQUE OK")</f>
        <v>ESTOQUE OK</v>
      </c>
      <c r="E64" s="11"/>
    </row>
    <row r="65" spans="1:5" ht="13.5" customHeight="1">
      <c r="A65" s="30" t="s">
        <v>44</v>
      </c>
      <c r="B65" s="30">
        <v>12</v>
      </c>
      <c r="C65" s="30">
        <v>24</v>
      </c>
      <c r="D65" s="83" t="str" cm="1">
        <f t="array" ref="D65">_xlfn.IFS(B65&lt;C65,"NECESSITA REPOSIÇÃO",B65&gt;=C65, "ESTOQUE OK")</f>
        <v>NECESSITA REPOSIÇÃO</v>
      </c>
      <c r="E65" s="11"/>
    </row>
    <row r="66" spans="1:5" ht="7.5" customHeight="1">
      <c r="A66" s="11"/>
      <c r="B66" s="11"/>
      <c r="C66" s="46"/>
      <c r="D66" s="11"/>
      <c r="E66" s="11"/>
    </row>
    <row r="67" spans="1:5" ht="13.5" customHeight="1">
      <c r="A67" s="49" t="s">
        <v>45</v>
      </c>
      <c r="B67" s="50"/>
      <c r="C67" s="50"/>
      <c r="D67" s="51"/>
      <c r="E67" s="5"/>
    </row>
    <row r="68" spans="1:5" ht="13.5" customHeight="1">
      <c r="A68" s="126" t="s">
        <v>46</v>
      </c>
      <c r="B68" s="127">
        <v>16</v>
      </c>
      <c r="C68" s="43">
        <v>10</v>
      </c>
      <c r="D68" s="19" t="str" cm="1">
        <f t="array" ref="D68">_xlfn.IFS(B68&lt;C68,"NECESSITA REPOSIÇÃO",B68&gt;=C68, "ESTOQUE OK")</f>
        <v>ESTOQUE OK</v>
      </c>
      <c r="E68" s="11"/>
    </row>
    <row r="69" spans="1:5" ht="13.5" customHeight="1">
      <c r="A69" s="16" t="s">
        <v>47</v>
      </c>
      <c r="B69" s="17">
        <v>4</v>
      </c>
      <c r="C69" s="52">
        <v>10</v>
      </c>
      <c r="D69" s="19" t="str" cm="1">
        <f t="array" ref="D69">_xlfn.IFS(B69&lt;C69,"NECESSITA REPOSIÇÃO",B69&gt;=C69, "ESTOQUE OK")</f>
        <v>NECESSITA REPOSIÇÃO</v>
      </c>
      <c r="E69" s="11"/>
    </row>
    <row r="70" spans="1:5" ht="13.5" customHeight="1">
      <c r="A70" s="20" t="s">
        <v>48</v>
      </c>
      <c r="B70" s="21">
        <v>0</v>
      </c>
      <c r="C70" s="43">
        <v>10</v>
      </c>
      <c r="D70" s="22" t="str" cm="1">
        <f t="array" ref="D70">_xlfn.IFS(B70&lt;C70,"NECESSITA REPOSIÇÃO",B70&gt;=C70, "ESTOQUE OK")</f>
        <v>NECESSITA REPOSIÇÃO</v>
      </c>
      <c r="E70" s="11"/>
    </row>
    <row r="71" spans="1:5" ht="13.5" customHeight="1">
      <c r="A71" s="20" t="s">
        <v>49</v>
      </c>
      <c r="B71" s="21">
        <v>47</v>
      </c>
      <c r="C71" s="43">
        <v>15</v>
      </c>
      <c r="D71" s="22" t="str" cm="1">
        <f t="array" ref="D71">_xlfn.IFS(B71&lt;C71,"NECESSITA REPOSIÇÃO",B71&gt;=C71, "ESTOQUE OK")</f>
        <v>ESTOQUE OK</v>
      </c>
      <c r="E71" s="11"/>
    </row>
    <row r="72" spans="1:5" ht="13.5" customHeight="1">
      <c r="A72" s="53" t="s">
        <v>50</v>
      </c>
      <c r="B72" s="30">
        <v>3</v>
      </c>
      <c r="C72" s="43">
        <v>15</v>
      </c>
      <c r="D72" s="22" t="str" cm="1">
        <f t="array" ref="D72">_xlfn.IFS(B72&lt;C72,"NECESSITA REPOSIÇÃO",B72&gt;=C72, "ESTOQUE OK")</f>
        <v>NECESSITA REPOSIÇÃO</v>
      </c>
      <c r="E72" s="11"/>
    </row>
    <row r="73" spans="1:5" ht="13.5" customHeight="1">
      <c r="A73" s="53" t="s">
        <v>51</v>
      </c>
      <c r="B73" s="30">
        <v>0</v>
      </c>
      <c r="C73" s="30">
        <v>15</v>
      </c>
      <c r="D73" s="22" t="str" cm="1">
        <f t="array" ref="D73">_xlfn.IFS(B73&lt;C73,"NECESSITA REPOSIÇÃO",B73&gt;=C73, "ESTOQUE OK")</f>
        <v>NECESSITA REPOSIÇÃO</v>
      </c>
      <c r="E73" s="11"/>
    </row>
    <row r="74" spans="1:5" ht="13.5" customHeight="1">
      <c r="A74" s="20" t="s">
        <v>52</v>
      </c>
      <c r="B74" s="21">
        <v>45</v>
      </c>
      <c r="C74" s="30">
        <v>50</v>
      </c>
      <c r="D74" s="22" t="str" cm="1">
        <f t="array" ref="D74">_xlfn.IFS(B74&lt;C74,"NECESSITA REPOSIÇÃO",B74&gt;=C74, "ESTOQUE OK")</f>
        <v>NECESSITA REPOSIÇÃO</v>
      </c>
      <c r="E74" s="11"/>
    </row>
    <row r="75" spans="1:5" ht="13.5" customHeight="1">
      <c r="A75" s="20" t="s">
        <v>53</v>
      </c>
      <c r="B75" s="21">
        <v>3</v>
      </c>
      <c r="C75" s="30">
        <v>4</v>
      </c>
      <c r="D75" s="22" t="str" cm="1">
        <f t="array" ref="D75">_xlfn.IFS(B75&lt;C75,"NECESSITA REPOSIÇÃO",B75&gt;=C75, "ESTOQUE OK")</f>
        <v>NECESSITA REPOSIÇÃO</v>
      </c>
      <c r="E75" s="11"/>
    </row>
    <row r="76" spans="1:5" ht="13.5" customHeight="1">
      <c r="A76" s="53" t="s">
        <v>54</v>
      </c>
      <c r="B76" s="30">
        <v>1000</v>
      </c>
      <c r="C76" s="43">
        <v>500</v>
      </c>
      <c r="D76" s="22" t="str" cm="1">
        <f t="array" ref="D76">_xlfn.IFS(B76&lt;C76,"NECESSITA REPOSIÇÃO",B76&gt;=C76, "ESTOQUE OK")</f>
        <v>ESTOQUE OK</v>
      </c>
      <c r="E76" s="11"/>
    </row>
    <row r="77" spans="1:5" ht="13.5" customHeight="1">
      <c r="A77" s="53" t="s">
        <v>55</v>
      </c>
      <c r="B77" s="30">
        <v>533</v>
      </c>
      <c r="C77" s="43">
        <v>500</v>
      </c>
      <c r="D77" s="22" t="str" cm="1">
        <f t="array" ref="D77">_xlfn.IFS(B77&lt;C77,"NECESSITA REPOSIÇÃO",B77&gt;=C77, "ESTOQUE OK")</f>
        <v>ESTOQUE OK</v>
      </c>
      <c r="E77" s="11"/>
    </row>
    <row r="78" spans="1:5" ht="13.5" customHeight="1">
      <c r="A78" s="20" t="s">
        <v>56</v>
      </c>
      <c r="B78" s="21">
        <v>610</v>
      </c>
      <c r="C78" s="43">
        <v>200</v>
      </c>
      <c r="D78" s="22" t="str" cm="1">
        <f t="array" ref="D78">_xlfn.IFS(B78&lt;C78,"NECESSITA REPOSIÇÃO",B78&gt;=C78, "ESTOQUE OK")</f>
        <v>ESTOQUE OK</v>
      </c>
      <c r="E78" s="11"/>
    </row>
    <row r="79" spans="1:5" ht="13.5" customHeight="1">
      <c r="A79" s="20" t="s">
        <v>57</v>
      </c>
      <c r="B79" s="21">
        <v>16</v>
      </c>
      <c r="C79" s="43">
        <v>15</v>
      </c>
      <c r="D79" s="22" t="str" cm="1">
        <f t="array" ref="D79">_xlfn.IFS(B79&lt;C79,"NECESSITA REPOSIÇÃO",B79&gt;=C79, "ESTOQUE OK")</f>
        <v>ESTOQUE OK</v>
      </c>
      <c r="E79" s="11"/>
    </row>
    <row r="80" spans="1:5" ht="13.5" customHeight="1">
      <c r="A80" s="20" t="s">
        <v>58</v>
      </c>
      <c r="B80" s="21">
        <v>15</v>
      </c>
      <c r="C80" s="43">
        <v>15</v>
      </c>
      <c r="D80" s="22" t="str" cm="1">
        <f t="array" ref="D80">_xlfn.IFS(B80&lt;C80,"NECESSITA REPOSIÇÃO",B80&gt;=C80, "ESTOQUE OK")</f>
        <v>ESTOQUE OK</v>
      </c>
      <c r="E80" s="11"/>
    </row>
    <row r="81" spans="1:5" ht="13.5" customHeight="1">
      <c r="A81" s="20" t="s">
        <v>59</v>
      </c>
      <c r="B81" s="21">
        <v>15</v>
      </c>
      <c r="C81" s="43">
        <v>15</v>
      </c>
      <c r="D81" s="22" t="str" cm="1">
        <f t="array" ref="D81">_xlfn.IFS(B81&lt;C81,"NECESSITA REPOSIÇÃO",B81&gt;=C81, "ESTOQUE OK")</f>
        <v>ESTOQUE OK</v>
      </c>
      <c r="E81" s="11"/>
    </row>
    <row r="82" spans="1:5" ht="13.5" customHeight="1">
      <c r="A82" s="20" t="s">
        <v>60</v>
      </c>
      <c r="B82" s="21">
        <v>2</v>
      </c>
      <c r="C82" s="43">
        <v>0</v>
      </c>
      <c r="D82" s="22" t="str" cm="1">
        <f t="array" ref="D82">_xlfn.IFS(B82&lt;C82,"NECESSITA REPOSIÇÃO",B82&gt;=C82, "ESTOQUE OK")</f>
        <v>ESTOQUE OK</v>
      </c>
      <c r="E82" s="11"/>
    </row>
    <row r="83" spans="1:5" ht="13.5" customHeight="1">
      <c r="A83" s="20" t="s">
        <v>61</v>
      </c>
      <c r="B83" s="21">
        <v>1</v>
      </c>
      <c r="C83" s="43">
        <v>1</v>
      </c>
      <c r="D83" s="22" t="str" cm="1">
        <f t="array" ref="D83">_xlfn.IFS(B83&lt;C83,"NECESSITA REPOSIÇÃO",B83&gt;=C83, "ESTOQUE OK")</f>
        <v>ESTOQUE OK</v>
      </c>
      <c r="E83" s="11"/>
    </row>
    <row r="84" spans="1:5" ht="13.5" customHeight="1">
      <c r="A84" s="20" t="s">
        <v>62</v>
      </c>
      <c r="B84" s="21">
        <v>1</v>
      </c>
      <c r="C84" s="43">
        <v>1</v>
      </c>
      <c r="D84" s="22" t="str" cm="1">
        <f t="array" ref="D84">_xlfn.IFS(B84&lt;C84,"NECESSITA REPOSIÇÃO",B84&gt;=C84, "ESTOQUE OK")</f>
        <v>ESTOQUE OK</v>
      </c>
      <c r="E84" s="11"/>
    </row>
    <row r="85" spans="1:5" ht="13.5" customHeight="1">
      <c r="A85" s="20" t="s">
        <v>63</v>
      </c>
      <c r="B85" s="21">
        <v>16</v>
      </c>
      <c r="C85" s="43">
        <v>15</v>
      </c>
      <c r="D85" s="22" t="str" cm="1">
        <f t="array" ref="D85">_xlfn.IFS(B85&lt;C85,"NECESSITA REPOSIÇÃO",B85&gt;=C85, "ESTOQUE OK")</f>
        <v>ESTOQUE OK</v>
      </c>
      <c r="E85" s="11"/>
    </row>
    <row r="86" spans="1:5" ht="13.5" customHeight="1">
      <c r="A86" s="86" t="s">
        <v>64</v>
      </c>
      <c r="B86" s="134">
        <v>3</v>
      </c>
      <c r="C86" s="48">
        <v>2</v>
      </c>
      <c r="D86" s="22" t="str" cm="1">
        <f t="array" ref="D86">_xlfn.IFS(B86&lt;C86,"NECESSITA REPOSIÇÃO",B86&gt;=C86, "ESTOQUE OK")</f>
        <v>ESTOQUE OK</v>
      </c>
      <c r="E86" s="11"/>
    </row>
    <row r="87" spans="1:5" ht="13.5" customHeight="1">
      <c r="A87" s="43" t="s">
        <v>65</v>
      </c>
      <c r="B87" s="30">
        <v>5</v>
      </c>
      <c r="C87" s="43">
        <v>5</v>
      </c>
      <c r="D87" s="22" t="str" cm="1">
        <f t="array" ref="D87">_xlfn.IFS(B87&lt;C87,"NECESSITA REPOSIÇÃO",B87&gt;=C87, "ESTOQUE OK")</f>
        <v>ESTOQUE OK</v>
      </c>
      <c r="E87" s="11"/>
    </row>
    <row r="88" spans="1:5" ht="13.5" customHeight="1">
      <c r="A88" s="43" t="s">
        <v>66</v>
      </c>
      <c r="B88" s="30">
        <v>1</v>
      </c>
      <c r="C88" s="43">
        <v>1</v>
      </c>
      <c r="D88" s="22" t="str" cm="1">
        <f t="array" ref="D88">_xlfn.IFS(B88&lt;C88,"NECESSITA REPOSIÇÃO",B88&gt;=C88, "ESTOQUE OK")</f>
        <v>ESTOQUE OK</v>
      </c>
      <c r="E88" s="11"/>
    </row>
    <row r="89" spans="1:5" ht="13.5" customHeight="1">
      <c r="A89" s="43" t="s">
        <v>67</v>
      </c>
      <c r="B89" s="30">
        <v>1</v>
      </c>
      <c r="C89" s="43">
        <v>1</v>
      </c>
      <c r="D89" s="22" t="str" cm="1">
        <f t="array" ref="D89">_xlfn.IFS(B89&lt;C89,"NECESSITA REPOSIÇÃO",B89&gt;=C89, "ESTOQUE OK")</f>
        <v>ESTOQUE OK</v>
      </c>
      <c r="E89" s="11"/>
    </row>
    <row r="90" spans="1:5" ht="13.5" customHeight="1">
      <c r="A90" s="43" t="s">
        <v>68</v>
      </c>
      <c r="B90" s="30">
        <v>1</v>
      </c>
      <c r="C90" s="43">
        <v>1</v>
      </c>
      <c r="D90" s="22" t="str" cm="1">
        <f t="array" ref="D90">_xlfn.IFS(B90&lt;C90,"NECESSITA REPOSIÇÃO",B90&gt;=C90, "ESTOQUE OK")</f>
        <v>ESTOQUE OK</v>
      </c>
      <c r="E90" s="11"/>
    </row>
    <row r="91" spans="1:5" ht="13.5" customHeight="1">
      <c r="A91" s="43" t="s">
        <v>69</v>
      </c>
      <c r="B91" s="30">
        <v>1</v>
      </c>
      <c r="C91" s="43">
        <v>1</v>
      </c>
      <c r="D91" s="22" t="str" cm="1">
        <f t="array" ref="D91">_xlfn.IFS(B91&lt;C91,"NECESSITA REPOSIÇÃO",B91&gt;=C91, "ESTOQUE OK")</f>
        <v>ESTOQUE OK</v>
      </c>
      <c r="E91" s="11"/>
    </row>
    <row r="92" spans="1:5" ht="13.5" customHeight="1">
      <c r="A92" s="43" t="s">
        <v>70</v>
      </c>
      <c r="B92" s="30">
        <v>1</v>
      </c>
      <c r="C92" s="43">
        <v>1</v>
      </c>
      <c r="D92" s="22" t="str" cm="1">
        <f t="array" ref="D92">_xlfn.IFS(B92&lt;C92,"NECESSITA REPOSIÇÃO",B92&gt;=C92, "ESTOQUE OK")</f>
        <v>ESTOQUE OK</v>
      </c>
      <c r="E92" s="11"/>
    </row>
    <row r="93" spans="1:5" ht="13.5" customHeight="1">
      <c r="A93" s="48" t="s">
        <v>71</v>
      </c>
      <c r="B93" s="35">
        <v>1</v>
      </c>
      <c r="C93" s="48">
        <v>1</v>
      </c>
      <c r="D93" s="22" t="str" cm="1">
        <f t="array" ref="D93">_xlfn.IFS(B93&lt;C93,"NECESSITA REPOSIÇÃO",B93&gt;=C93, "ESTOQUE OK")</f>
        <v>ESTOQUE OK</v>
      </c>
      <c r="E93" s="11"/>
    </row>
    <row r="94" spans="1:5" ht="12.75">
      <c r="A94" s="43" t="s">
        <v>72</v>
      </c>
      <c r="B94" s="30">
        <v>2</v>
      </c>
      <c r="C94" s="43">
        <v>1</v>
      </c>
      <c r="D94" s="22" t="str" cm="1">
        <f t="array" ref="D94">_xlfn.IFS(B94&lt;C94,"NECESSITA REPOSIÇÃO",B94&gt;=C94, "ESTOQUE OK")</f>
        <v>ESTOQUE OK</v>
      </c>
      <c r="E94" s="11"/>
    </row>
    <row r="95" spans="1:5" ht="12.75">
      <c r="A95" s="43" t="s">
        <v>73</v>
      </c>
      <c r="B95" s="30">
        <v>2</v>
      </c>
      <c r="C95" s="43">
        <v>1</v>
      </c>
      <c r="D95" s="22" t="str" cm="1">
        <f t="array" ref="D95">_xlfn.IFS(B95&lt;C95,"NECESSITA REPOSIÇÃO",B95&gt;=C95, "ESTOQUE OK")</f>
        <v>ESTOQUE OK</v>
      </c>
      <c r="E95" s="11"/>
    </row>
    <row r="96" spans="1:5" ht="12.75">
      <c r="A96" s="43" t="s">
        <v>74</v>
      </c>
      <c r="B96" s="30">
        <v>2</v>
      </c>
      <c r="C96" s="43">
        <v>1</v>
      </c>
      <c r="D96" s="22" t="str" cm="1">
        <f t="array" ref="D96">_xlfn.IFS(B96&lt;C96,"NECESSITA REPOSIÇÃO",B96&gt;=C96, "ESTOQUE OK")</f>
        <v>ESTOQUE OK</v>
      </c>
      <c r="E96" s="11"/>
    </row>
    <row r="97" spans="1:5" ht="12.75">
      <c r="A97" s="54"/>
      <c r="B97" s="55"/>
      <c r="C97" s="55"/>
      <c r="D97" s="56"/>
      <c r="E97" s="5"/>
    </row>
    <row r="98" spans="1:5" ht="12.75"/>
  </sheetData>
  <sortState xmlns:xlrd2="http://schemas.microsoft.com/office/spreadsheetml/2017/richdata2" ref="A2:B73">
    <sortCondition ref="A2:A73"/>
  </sortState>
  <conditionalFormatting sqref="D1:D34 D36:D42 D44:D49 D51:D55 D58 D61:D65 D68:D97">
    <cfRule type="containsText" dxfId="25" priority="11" operator="containsText" text="ESTOQUE OK">
      <formula>NOT(ISERROR(SEARCH("ESTOQUE OK",D1)))</formula>
    </cfRule>
    <cfRule type="containsText" dxfId="24" priority="12" operator="containsText" text="NECESSITA REPOSIÇÃO">
      <formula>NOT(ISERROR(SEARCH("NECESSITA REPOSIÇÃO",D1)))</formula>
    </cfRule>
  </conditionalFormatting>
  <pageMargins left="0.511811024" right="0.511811024" top="0.78740157499999996" bottom="0.78740157499999996" header="0.31496062000000002" footer="0.31496062000000002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D300-969D-4FB9-B101-1F713F7F1A0A}">
  <dimension ref="A1:E49"/>
  <sheetViews>
    <sheetView workbookViewId="0">
      <selection activeCell="A27" sqref="A27"/>
    </sheetView>
  </sheetViews>
  <sheetFormatPr defaultRowHeight="14.45"/>
  <cols>
    <col min="1" max="1" width="53.140625" customWidth="1"/>
    <col min="2" max="2" width="24" customWidth="1"/>
    <col min="3" max="3" width="1.7109375" customWidth="1"/>
  </cols>
  <sheetData>
    <row r="1" spans="1:5">
      <c r="A1" s="60" t="s">
        <v>75</v>
      </c>
      <c r="B1" s="60" t="s">
        <v>76</v>
      </c>
      <c r="C1" s="121"/>
      <c r="D1" s="1" t="s">
        <v>77</v>
      </c>
      <c r="E1" s="1" t="s">
        <v>78</v>
      </c>
    </row>
    <row r="2" spans="1:5">
      <c r="A2" s="20" t="s">
        <v>79</v>
      </c>
      <c r="B2" s="63">
        <v>16</v>
      </c>
      <c r="C2" s="121"/>
      <c r="E2" s="1" t="s">
        <v>80</v>
      </c>
    </row>
    <row r="3" spans="1:5">
      <c r="A3" s="20" t="s">
        <v>61</v>
      </c>
      <c r="B3" s="21">
        <v>1</v>
      </c>
      <c r="C3" s="121"/>
      <c r="E3" s="1" t="s">
        <v>80</v>
      </c>
    </row>
    <row r="4" spans="1:5">
      <c r="A4" s="20" t="s">
        <v>62</v>
      </c>
      <c r="B4" s="21">
        <v>1</v>
      </c>
      <c r="C4" s="121"/>
      <c r="E4" s="1" t="s">
        <v>80</v>
      </c>
    </row>
    <row r="5" spans="1:5">
      <c r="A5" s="20" t="s">
        <v>63</v>
      </c>
      <c r="B5" s="21">
        <v>16</v>
      </c>
      <c r="C5" s="121"/>
      <c r="E5" s="1" t="s">
        <v>80</v>
      </c>
    </row>
    <row r="6" spans="1:5">
      <c r="A6" s="60" t="s">
        <v>81</v>
      </c>
      <c r="B6" s="60">
        <v>2</v>
      </c>
      <c r="C6" s="121"/>
      <c r="E6" s="1" t="s">
        <v>80</v>
      </c>
    </row>
    <row r="7" spans="1:5">
      <c r="A7" s="60" t="s">
        <v>82</v>
      </c>
      <c r="B7" s="60">
        <v>2</v>
      </c>
      <c r="C7" s="121"/>
      <c r="E7" s="1" t="s">
        <v>80</v>
      </c>
    </row>
    <row r="8" spans="1:5">
      <c r="A8" s="88" t="s">
        <v>83</v>
      </c>
      <c r="B8" s="88">
        <v>1</v>
      </c>
      <c r="C8" s="121"/>
      <c r="E8" s="1" t="s">
        <v>80</v>
      </c>
    </row>
    <row r="9" spans="1:5">
      <c r="A9" s="60" t="s">
        <v>84</v>
      </c>
      <c r="B9" s="60">
        <v>10</v>
      </c>
      <c r="C9" s="121"/>
      <c r="E9" s="1" t="s">
        <v>80</v>
      </c>
    </row>
    <row r="10" spans="1:5">
      <c r="A10" s="60" t="s">
        <v>85</v>
      </c>
      <c r="B10" s="60">
        <v>6</v>
      </c>
      <c r="C10" s="121"/>
      <c r="E10" s="1" t="s">
        <v>80</v>
      </c>
    </row>
    <row r="11" spans="1:5">
      <c r="A11" s="60" t="s">
        <v>86</v>
      </c>
      <c r="B11" s="60">
        <v>4</v>
      </c>
      <c r="C11" s="121"/>
      <c r="E11" s="1" t="s">
        <v>80</v>
      </c>
    </row>
    <row r="12" spans="1:5">
      <c r="A12" s="60" t="s">
        <v>87</v>
      </c>
      <c r="B12" s="60">
        <v>3</v>
      </c>
      <c r="C12" s="121"/>
      <c r="E12" s="1" t="s">
        <v>80</v>
      </c>
    </row>
    <row r="13" spans="1:5">
      <c r="A13" s="53" t="s">
        <v>88</v>
      </c>
      <c r="B13" s="30" t="s">
        <v>89</v>
      </c>
      <c r="C13" s="121"/>
      <c r="E13" s="1" t="s">
        <v>80</v>
      </c>
    </row>
    <row r="14" spans="1:5">
      <c r="A14" s="53" t="s">
        <v>90</v>
      </c>
      <c r="B14" s="30" t="s">
        <v>89</v>
      </c>
      <c r="C14" s="121"/>
      <c r="E14" s="1" t="s">
        <v>80</v>
      </c>
    </row>
    <row r="15" spans="1:5">
      <c r="A15" s="53" t="s">
        <v>91</v>
      </c>
      <c r="B15" s="30">
        <v>48</v>
      </c>
      <c r="C15" s="121"/>
      <c r="E15" s="1" t="s">
        <v>80</v>
      </c>
    </row>
    <row r="16" spans="1:5" ht="9" customHeight="1">
      <c r="A16" s="151"/>
      <c r="B16" s="151"/>
      <c r="C16" s="121"/>
    </row>
    <row r="17" spans="1:5">
      <c r="A17" s="60" t="s">
        <v>92</v>
      </c>
      <c r="B17" s="60" t="s">
        <v>76</v>
      </c>
      <c r="C17" s="121"/>
    </row>
    <row r="18" spans="1:5">
      <c r="A18" s="60" t="s">
        <v>93</v>
      </c>
      <c r="B18" s="60">
        <v>1</v>
      </c>
      <c r="C18" s="121"/>
      <c r="E18" s="1" t="s">
        <v>80</v>
      </c>
    </row>
    <row r="19" spans="1:5">
      <c r="A19" s="60" t="s">
        <v>94</v>
      </c>
      <c r="B19" s="60">
        <v>1</v>
      </c>
      <c r="C19" s="121"/>
      <c r="E19" s="1" t="s">
        <v>80</v>
      </c>
    </row>
    <row r="20" spans="1:5">
      <c r="A20" s="60" t="s">
        <v>95</v>
      </c>
      <c r="B20" s="60">
        <v>7</v>
      </c>
      <c r="C20" s="121"/>
      <c r="E20" s="1" t="s">
        <v>80</v>
      </c>
    </row>
    <row r="21" spans="1:5">
      <c r="A21" s="60" t="s">
        <v>96</v>
      </c>
      <c r="B21" s="60">
        <v>13</v>
      </c>
      <c r="C21" s="121"/>
      <c r="E21" s="1" t="s">
        <v>80</v>
      </c>
    </row>
    <row r="22" spans="1:5">
      <c r="A22" s="60" t="s">
        <v>97</v>
      </c>
      <c r="B22" s="60">
        <v>1</v>
      </c>
      <c r="C22" s="121"/>
      <c r="E22" s="1" t="s">
        <v>80</v>
      </c>
    </row>
    <row r="23" spans="1:5">
      <c r="A23" s="60" t="s">
        <v>98</v>
      </c>
      <c r="B23" s="60">
        <v>2</v>
      </c>
      <c r="C23" s="121"/>
      <c r="E23" s="1" t="s">
        <v>80</v>
      </c>
    </row>
    <row r="24" spans="1:5">
      <c r="A24" s="60" t="s">
        <v>94</v>
      </c>
      <c r="B24" s="60">
        <v>1</v>
      </c>
      <c r="C24" s="121"/>
      <c r="E24" s="1" t="s">
        <v>80</v>
      </c>
    </row>
    <row r="25" spans="1:5" ht="9" customHeight="1">
      <c r="A25" s="121"/>
      <c r="B25" s="121"/>
      <c r="C25" s="121"/>
    </row>
    <row r="26" spans="1:5" ht="15.75" customHeight="1">
      <c r="A26" s="124"/>
      <c r="B26" s="124"/>
      <c r="C26" s="124"/>
      <c r="D26" s="124"/>
    </row>
    <row r="27" spans="1:5" ht="15.75" customHeight="1">
      <c r="A27" s="120"/>
      <c r="B27" s="120"/>
      <c r="C27" s="120"/>
    </row>
    <row r="28" spans="1:5" ht="15.75" customHeight="1">
      <c r="A28" s="152" t="s">
        <v>99</v>
      </c>
      <c r="B28" s="152"/>
      <c r="C28" s="120"/>
    </row>
    <row r="29" spans="1:5" ht="15.75" customHeight="1">
      <c r="A29" s="125"/>
      <c r="B29" s="125"/>
      <c r="C29" s="120"/>
    </row>
    <row r="30" spans="1:5" ht="15.75" customHeight="1">
      <c r="A30" s="114" t="s">
        <v>100</v>
      </c>
      <c r="B30" s="114" t="s">
        <v>76</v>
      </c>
      <c r="C30" s="120"/>
      <c r="E30" s="1" t="s">
        <v>80</v>
      </c>
    </row>
    <row r="31" spans="1:5" ht="15.75" customHeight="1">
      <c r="A31" s="60" t="s">
        <v>101</v>
      </c>
      <c r="B31" s="60">
        <v>4</v>
      </c>
      <c r="C31" s="120"/>
      <c r="E31" s="1" t="s">
        <v>80</v>
      </c>
    </row>
    <row r="32" spans="1:5" ht="15.75" customHeight="1">
      <c r="A32" s="60" t="s">
        <v>102</v>
      </c>
      <c r="B32" s="60">
        <v>4</v>
      </c>
      <c r="C32" s="120"/>
      <c r="E32" s="1" t="s">
        <v>80</v>
      </c>
    </row>
    <row r="33" spans="1:5" ht="15.75" customHeight="1">
      <c r="A33" s="60" t="s">
        <v>103</v>
      </c>
      <c r="B33" s="60">
        <v>1</v>
      </c>
      <c r="C33" s="120"/>
      <c r="E33" s="1" t="s">
        <v>80</v>
      </c>
    </row>
    <row r="34" spans="1:5" ht="15.75" customHeight="1">
      <c r="A34" s="60" t="s">
        <v>104</v>
      </c>
      <c r="B34" s="60">
        <v>1</v>
      </c>
      <c r="C34" s="120"/>
      <c r="E34" s="1" t="s">
        <v>80</v>
      </c>
    </row>
    <row r="35" spans="1:5" ht="15.75" customHeight="1">
      <c r="A35" s="60" t="s">
        <v>93</v>
      </c>
      <c r="B35" s="60">
        <v>1</v>
      </c>
      <c r="C35" s="120"/>
      <c r="E35" s="1" t="s">
        <v>80</v>
      </c>
    </row>
    <row r="36" spans="1:5" ht="15.75" customHeight="1">
      <c r="A36" s="60" t="s">
        <v>105</v>
      </c>
      <c r="B36" s="60">
        <v>2</v>
      </c>
      <c r="C36" s="120"/>
      <c r="E36" s="1" t="s">
        <v>80</v>
      </c>
    </row>
    <row r="37" spans="1:5" ht="15.75" customHeight="1">
      <c r="A37" s="60" t="s">
        <v>106</v>
      </c>
      <c r="B37" s="60">
        <v>12</v>
      </c>
      <c r="C37" s="120"/>
      <c r="E37" s="1" t="s">
        <v>80</v>
      </c>
    </row>
    <row r="38" spans="1:5" ht="15.75" customHeight="1">
      <c r="A38" s="60" t="s">
        <v>107</v>
      </c>
      <c r="B38" s="60">
        <v>3</v>
      </c>
      <c r="C38" s="120"/>
      <c r="E38" s="1" t="s">
        <v>80</v>
      </c>
    </row>
    <row r="39" spans="1:5" ht="15.75" customHeight="1">
      <c r="A39" s="60" t="s">
        <v>108</v>
      </c>
      <c r="B39" s="60">
        <v>2</v>
      </c>
      <c r="C39" s="120"/>
      <c r="E39" s="1" t="s">
        <v>80</v>
      </c>
    </row>
    <row r="40" spans="1:5" ht="15.75" customHeight="1">
      <c r="A40" s="123"/>
      <c r="B40" s="123"/>
      <c r="C40" s="120"/>
    </row>
    <row r="41" spans="1:5" ht="15.75" customHeight="1">
      <c r="A41" s="122" t="s">
        <v>21</v>
      </c>
      <c r="B41" s="60" t="s">
        <v>76</v>
      </c>
      <c r="C41" s="120"/>
    </row>
    <row r="42" spans="1:5" ht="15.75" customHeight="1">
      <c r="A42" s="60" t="s">
        <v>101</v>
      </c>
      <c r="B42" s="110">
        <v>1</v>
      </c>
      <c r="C42" s="120"/>
      <c r="D42" s="1" t="s">
        <v>80</v>
      </c>
    </row>
    <row r="43" spans="1:5" ht="15.75" customHeight="1">
      <c r="A43" s="60" t="s">
        <v>95</v>
      </c>
      <c r="B43" s="60">
        <v>3</v>
      </c>
      <c r="C43" s="120"/>
      <c r="D43" s="1" t="s">
        <v>80</v>
      </c>
    </row>
    <row r="44" spans="1:5" ht="15.75" customHeight="1">
      <c r="A44" s="60" t="s">
        <v>109</v>
      </c>
      <c r="B44" s="60">
        <v>5</v>
      </c>
      <c r="C44" s="120"/>
      <c r="D44" s="1" t="s">
        <v>80</v>
      </c>
    </row>
    <row r="45" spans="1:5" ht="15.75" customHeight="1">
      <c r="A45" s="60" t="s">
        <v>108</v>
      </c>
      <c r="B45" s="60">
        <v>4</v>
      </c>
      <c r="C45" s="120"/>
      <c r="D45" s="1" t="s">
        <v>80</v>
      </c>
    </row>
    <row r="46" spans="1:5" ht="15.75" customHeight="1">
      <c r="A46" s="60" t="s">
        <v>110</v>
      </c>
      <c r="B46" s="60">
        <v>5</v>
      </c>
      <c r="C46" s="120"/>
      <c r="D46" s="1" t="s">
        <v>80</v>
      </c>
    </row>
    <row r="47" spans="1:5" ht="15.75" customHeight="1">
      <c r="A47" s="60" t="s">
        <v>102</v>
      </c>
      <c r="B47" s="60">
        <v>5</v>
      </c>
      <c r="C47" s="120"/>
      <c r="D47" s="1" t="s">
        <v>80</v>
      </c>
    </row>
    <row r="48" spans="1:5" ht="15.75" customHeight="1">
      <c r="A48" s="60" t="s">
        <v>111</v>
      </c>
      <c r="B48" s="60">
        <v>6</v>
      </c>
      <c r="C48" s="120"/>
      <c r="D48" s="1" t="s">
        <v>80</v>
      </c>
    </row>
    <row r="49" spans="1:3">
      <c r="A49" s="120"/>
      <c r="B49" s="120"/>
      <c r="C49" s="120"/>
    </row>
  </sheetData>
  <sortState xmlns:xlrd2="http://schemas.microsoft.com/office/spreadsheetml/2017/richdata2" ref="A42:B48">
    <sortCondition ref="B42:B48"/>
  </sortState>
  <mergeCells count="2">
    <mergeCell ref="A16:B16"/>
    <mergeCell ref="A28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C289-13DC-405E-9C48-B5A459479396}">
  <dimension ref="A1:H50"/>
  <sheetViews>
    <sheetView workbookViewId="0">
      <selection activeCell="A23" sqref="A23"/>
    </sheetView>
  </sheetViews>
  <sheetFormatPr defaultRowHeight="14.45"/>
  <cols>
    <col min="1" max="1" width="48.140625" bestFit="1" customWidth="1"/>
    <col min="2" max="2" width="11.5703125" bestFit="1" customWidth="1"/>
    <col min="3" max="3" width="13.28515625" bestFit="1" customWidth="1"/>
    <col min="4" max="4" width="14" customWidth="1"/>
    <col min="5" max="5" width="19" customWidth="1"/>
    <col min="6" max="6" width="13.42578125" bestFit="1" customWidth="1"/>
    <col min="7" max="7" width="17.7109375" customWidth="1"/>
    <col min="8" max="8" width="18.140625" bestFit="1" customWidth="1"/>
  </cols>
  <sheetData>
    <row r="1" spans="1:8">
      <c r="A1" s="95" t="s">
        <v>112</v>
      </c>
      <c r="B1" s="95" t="s">
        <v>113</v>
      </c>
      <c r="C1" s="96" t="s">
        <v>114</v>
      </c>
      <c r="D1" s="96" t="s">
        <v>115</v>
      </c>
      <c r="E1" s="95" t="s">
        <v>116</v>
      </c>
      <c r="F1" s="95" t="s">
        <v>117</v>
      </c>
      <c r="G1" s="95" t="s">
        <v>118</v>
      </c>
      <c r="H1" s="95" t="s">
        <v>119</v>
      </c>
    </row>
    <row r="2" spans="1:8">
      <c r="A2" s="97" t="s">
        <v>120</v>
      </c>
      <c r="B2" s="97">
        <v>2</v>
      </c>
      <c r="C2" s="98">
        <v>1454.17</v>
      </c>
      <c r="D2" s="99">
        <f>B2*C2</f>
        <v>2908.34</v>
      </c>
      <c r="E2" s="97">
        <v>17151</v>
      </c>
      <c r="F2" s="97" t="s">
        <v>121</v>
      </c>
      <c r="G2" s="100">
        <v>45614</v>
      </c>
      <c r="H2" s="97" t="s">
        <v>122</v>
      </c>
    </row>
    <row r="3" spans="1:8">
      <c r="A3" s="101" t="s">
        <v>123</v>
      </c>
      <c r="B3" s="101">
        <v>2</v>
      </c>
      <c r="C3" s="98">
        <v>5499.57</v>
      </c>
      <c r="D3" s="99">
        <f t="shared" ref="D3:D50" si="0">B3*C3</f>
        <v>10999.14</v>
      </c>
      <c r="E3" s="97">
        <v>17151</v>
      </c>
      <c r="F3" s="97" t="s">
        <v>121</v>
      </c>
      <c r="G3" s="100">
        <v>45614</v>
      </c>
      <c r="H3" s="97" t="s">
        <v>122</v>
      </c>
    </row>
    <row r="4" spans="1:8">
      <c r="A4" s="101" t="s">
        <v>124</v>
      </c>
      <c r="B4" s="101">
        <v>2</v>
      </c>
      <c r="C4" s="98">
        <v>5644.11</v>
      </c>
      <c r="D4" s="99">
        <f t="shared" si="0"/>
        <v>11288.22</v>
      </c>
      <c r="E4" s="97">
        <v>17151</v>
      </c>
      <c r="F4" s="97" t="s">
        <v>121</v>
      </c>
      <c r="G4" s="100">
        <v>45614</v>
      </c>
      <c r="H4" s="97" t="s">
        <v>122</v>
      </c>
    </row>
    <row r="5" spans="1:8">
      <c r="A5" s="20" t="s">
        <v>125</v>
      </c>
      <c r="B5" s="101">
        <v>1</v>
      </c>
      <c r="C5" s="98">
        <v>215.49</v>
      </c>
      <c r="D5" s="99">
        <f t="shared" si="0"/>
        <v>215.49</v>
      </c>
      <c r="E5" s="101">
        <v>17190</v>
      </c>
      <c r="F5" s="101"/>
      <c r="G5" s="102">
        <v>45617</v>
      </c>
      <c r="H5" s="97" t="s">
        <v>122</v>
      </c>
    </row>
    <row r="6" spans="1:8">
      <c r="A6" s="20" t="s">
        <v>49</v>
      </c>
      <c r="B6" s="101">
        <v>6</v>
      </c>
      <c r="C6" s="98">
        <v>223.69</v>
      </c>
      <c r="D6" s="99">
        <f t="shared" si="0"/>
        <v>1342.1399999999999</v>
      </c>
      <c r="E6" s="101">
        <v>17190</v>
      </c>
      <c r="F6" s="101"/>
      <c r="G6" s="102">
        <v>45617</v>
      </c>
      <c r="H6" s="97" t="s">
        <v>122</v>
      </c>
    </row>
    <row r="7" spans="1:8">
      <c r="A7" s="101" t="s">
        <v>126</v>
      </c>
      <c r="B7" s="101">
        <v>10</v>
      </c>
      <c r="C7" s="98">
        <v>10</v>
      </c>
      <c r="D7" s="99">
        <f t="shared" si="0"/>
        <v>100</v>
      </c>
      <c r="E7" s="101">
        <v>17190</v>
      </c>
      <c r="F7" s="101"/>
      <c r="G7" s="102">
        <v>45617</v>
      </c>
      <c r="H7" s="97" t="s">
        <v>122</v>
      </c>
    </row>
    <row r="8" spans="1:8">
      <c r="A8" s="103" t="s">
        <v>127</v>
      </c>
      <c r="B8" s="101">
        <v>10</v>
      </c>
      <c r="C8" s="98">
        <v>279.29000000000002</v>
      </c>
      <c r="D8" s="99">
        <f t="shared" si="0"/>
        <v>2792.9</v>
      </c>
      <c r="E8" s="101">
        <v>17190</v>
      </c>
      <c r="F8" s="101"/>
      <c r="G8" s="102">
        <v>45617</v>
      </c>
      <c r="H8" s="97" t="s">
        <v>122</v>
      </c>
    </row>
    <row r="9" spans="1:8">
      <c r="A9" s="60" t="s">
        <v>128</v>
      </c>
      <c r="B9" s="104">
        <v>20</v>
      </c>
      <c r="C9" s="98">
        <v>191.46</v>
      </c>
      <c r="D9" s="99">
        <f t="shared" si="0"/>
        <v>3829.2000000000003</v>
      </c>
      <c r="E9" s="101">
        <v>17190</v>
      </c>
      <c r="F9" s="101"/>
      <c r="G9" s="102">
        <v>45617</v>
      </c>
      <c r="H9" s="97" t="s">
        <v>122</v>
      </c>
    </row>
    <row r="10" spans="1:8">
      <c r="A10" s="105" t="s">
        <v>129</v>
      </c>
      <c r="B10" s="104">
        <v>5</v>
      </c>
      <c r="C10" s="98">
        <v>315.08999999999997</v>
      </c>
      <c r="D10" s="99">
        <f t="shared" si="0"/>
        <v>1575.4499999999998</v>
      </c>
      <c r="E10" s="101">
        <v>17190</v>
      </c>
      <c r="F10" s="101"/>
      <c r="G10" s="102">
        <v>45617</v>
      </c>
      <c r="H10" s="97" t="s">
        <v>122</v>
      </c>
    </row>
    <row r="11" spans="1:8">
      <c r="A11" s="105" t="s">
        <v>130</v>
      </c>
      <c r="B11" s="104">
        <v>20</v>
      </c>
      <c r="C11" s="98">
        <v>179.53</v>
      </c>
      <c r="D11" s="99">
        <f t="shared" si="0"/>
        <v>3590.6</v>
      </c>
      <c r="E11" s="101">
        <v>17190</v>
      </c>
      <c r="F11" s="101"/>
      <c r="G11" s="102">
        <v>45617</v>
      </c>
      <c r="H11" s="97" t="s">
        <v>122</v>
      </c>
    </row>
    <row r="12" spans="1:8">
      <c r="A12" s="105" t="s">
        <v>131</v>
      </c>
      <c r="B12" s="104">
        <v>10</v>
      </c>
      <c r="C12" s="98">
        <v>234.18</v>
      </c>
      <c r="D12" s="99">
        <f t="shared" si="0"/>
        <v>2341.8000000000002</v>
      </c>
      <c r="E12" s="101">
        <v>17190</v>
      </c>
      <c r="F12" s="101"/>
      <c r="G12" s="102">
        <v>45617</v>
      </c>
      <c r="H12" s="97" t="s">
        <v>122</v>
      </c>
    </row>
    <row r="13" spans="1:8">
      <c r="A13" s="105" t="s">
        <v>132</v>
      </c>
      <c r="B13" s="104">
        <v>20</v>
      </c>
      <c r="C13" s="98">
        <v>166.72</v>
      </c>
      <c r="D13" s="99">
        <f t="shared" si="0"/>
        <v>3334.4</v>
      </c>
      <c r="E13" s="101">
        <v>17190</v>
      </c>
      <c r="F13" s="101"/>
      <c r="G13" s="102">
        <v>45617</v>
      </c>
      <c r="H13" s="97" t="s">
        <v>122</v>
      </c>
    </row>
    <row r="14" spans="1:8">
      <c r="A14" s="60" t="s">
        <v>133</v>
      </c>
      <c r="B14" s="104">
        <v>10</v>
      </c>
      <c r="C14" s="98">
        <v>206.51</v>
      </c>
      <c r="D14" s="99">
        <f t="shared" si="0"/>
        <v>2065.1</v>
      </c>
      <c r="E14" s="101">
        <v>17190</v>
      </c>
      <c r="F14" s="101"/>
      <c r="G14" s="102">
        <v>45617</v>
      </c>
      <c r="H14" s="97" t="s">
        <v>122</v>
      </c>
    </row>
    <row r="15" spans="1:8">
      <c r="A15" s="60" t="s">
        <v>134</v>
      </c>
      <c r="B15" s="104">
        <v>10</v>
      </c>
      <c r="C15" s="98">
        <v>197.75</v>
      </c>
      <c r="D15" s="99">
        <f t="shared" si="0"/>
        <v>1977.5</v>
      </c>
      <c r="E15" s="101">
        <v>17190</v>
      </c>
      <c r="F15" s="101"/>
      <c r="G15" s="102">
        <v>45617</v>
      </c>
      <c r="H15" s="97" t="s">
        <v>122</v>
      </c>
    </row>
    <row r="16" spans="1:8">
      <c r="A16" s="97" t="s">
        <v>135</v>
      </c>
      <c r="B16" s="101">
        <v>1</v>
      </c>
      <c r="C16" s="98">
        <v>150</v>
      </c>
      <c r="D16" s="99">
        <f t="shared" si="0"/>
        <v>150</v>
      </c>
      <c r="E16" s="101">
        <v>17190</v>
      </c>
      <c r="F16" s="101"/>
      <c r="G16" s="102">
        <v>45617</v>
      </c>
      <c r="H16" s="97" t="s">
        <v>122</v>
      </c>
    </row>
    <row r="17" spans="1:8">
      <c r="A17" s="101" t="s">
        <v>136</v>
      </c>
      <c r="B17" s="101">
        <v>1</v>
      </c>
      <c r="C17" s="98">
        <v>480</v>
      </c>
      <c r="D17" s="99">
        <f t="shared" si="0"/>
        <v>480</v>
      </c>
      <c r="E17" s="101">
        <v>21570</v>
      </c>
      <c r="F17" s="101" t="s">
        <v>137</v>
      </c>
      <c r="G17" s="102">
        <v>45659</v>
      </c>
      <c r="H17" s="101" t="s">
        <v>138</v>
      </c>
    </row>
    <row r="18" spans="1:8">
      <c r="A18" s="101" t="s">
        <v>139</v>
      </c>
      <c r="B18" s="101">
        <v>2</v>
      </c>
      <c r="C18" s="98">
        <v>1504</v>
      </c>
      <c r="D18" s="99">
        <f t="shared" si="0"/>
        <v>3008</v>
      </c>
      <c r="E18" s="101">
        <v>5462</v>
      </c>
      <c r="F18" s="101" t="s">
        <v>140</v>
      </c>
      <c r="G18" s="102">
        <v>45664</v>
      </c>
      <c r="H18" s="101" t="s">
        <v>138</v>
      </c>
    </row>
    <row r="19" spans="1:8">
      <c r="A19" s="101" t="s">
        <v>141</v>
      </c>
      <c r="B19" s="101">
        <v>2</v>
      </c>
      <c r="C19" s="98">
        <v>119.64</v>
      </c>
      <c r="D19" s="99">
        <f t="shared" si="0"/>
        <v>239.28</v>
      </c>
      <c r="E19" s="101">
        <v>5462</v>
      </c>
      <c r="F19" s="101" t="s">
        <v>140</v>
      </c>
      <c r="G19" s="102">
        <v>45664</v>
      </c>
      <c r="H19" s="101" t="s">
        <v>138</v>
      </c>
    </row>
    <row r="20" spans="1:8">
      <c r="A20" s="101" t="s">
        <v>142</v>
      </c>
      <c r="B20" s="101">
        <v>24</v>
      </c>
      <c r="C20" s="98"/>
      <c r="D20" s="99">
        <f t="shared" si="0"/>
        <v>0</v>
      </c>
      <c r="E20" s="101"/>
      <c r="F20" s="101"/>
      <c r="G20" s="102">
        <v>45947</v>
      </c>
      <c r="H20" s="97" t="s">
        <v>122</v>
      </c>
    </row>
    <row r="21" spans="1:8">
      <c r="A21" s="101" t="s">
        <v>143</v>
      </c>
      <c r="B21" s="101">
        <v>3</v>
      </c>
      <c r="C21" s="98"/>
      <c r="D21" s="99">
        <f t="shared" si="0"/>
        <v>0</v>
      </c>
      <c r="E21" s="101"/>
      <c r="F21" s="101"/>
      <c r="G21" s="102"/>
      <c r="H21" s="101"/>
    </row>
    <row r="22" spans="1:8">
      <c r="A22" s="101" t="s">
        <v>144</v>
      </c>
      <c r="B22" s="101">
        <v>10</v>
      </c>
      <c r="C22" s="98"/>
      <c r="D22" s="99">
        <f t="shared" si="0"/>
        <v>0</v>
      </c>
      <c r="E22" s="101"/>
      <c r="F22" s="101"/>
      <c r="G22" s="102"/>
      <c r="H22" s="101"/>
    </row>
    <row r="23" spans="1:8">
      <c r="A23" s="101" t="s">
        <v>145</v>
      </c>
      <c r="B23" s="101">
        <v>10</v>
      </c>
      <c r="C23" s="98">
        <v>43.29</v>
      </c>
      <c r="D23" s="99">
        <f t="shared" si="0"/>
        <v>432.9</v>
      </c>
      <c r="E23" s="101">
        <v>21008</v>
      </c>
      <c r="F23" s="101"/>
      <c r="G23" s="102"/>
      <c r="H23" s="101"/>
    </row>
    <row r="24" spans="1:8">
      <c r="A24" s="101" t="s">
        <v>146</v>
      </c>
      <c r="B24" s="101">
        <v>2</v>
      </c>
      <c r="C24" s="98"/>
      <c r="D24" s="99">
        <f t="shared" si="0"/>
        <v>0</v>
      </c>
      <c r="E24" s="101"/>
      <c r="F24" s="101"/>
      <c r="G24" s="102"/>
      <c r="H24" s="101"/>
    </row>
    <row r="25" spans="1:8">
      <c r="A25" s="101" t="s">
        <v>147</v>
      </c>
      <c r="B25" s="101">
        <v>2</v>
      </c>
      <c r="C25" s="98"/>
      <c r="D25" s="99">
        <f t="shared" si="0"/>
        <v>0</v>
      </c>
      <c r="E25" s="101"/>
      <c r="F25" s="101"/>
      <c r="G25" s="102"/>
      <c r="H25" s="101"/>
    </row>
    <row r="26" spans="1:8">
      <c r="A26" s="101" t="s">
        <v>148</v>
      </c>
      <c r="B26" s="101">
        <v>1</v>
      </c>
      <c r="C26" s="98"/>
      <c r="D26" s="99">
        <f t="shared" si="0"/>
        <v>0</v>
      </c>
      <c r="E26" s="101"/>
      <c r="F26" s="101"/>
      <c r="G26" s="102"/>
      <c r="H26" s="101"/>
    </row>
    <row r="27" spans="1:8">
      <c r="A27" s="101"/>
      <c r="B27" s="101"/>
      <c r="C27" s="98"/>
      <c r="D27" s="99">
        <f t="shared" si="0"/>
        <v>0</v>
      </c>
      <c r="E27" s="101"/>
      <c r="F27" s="101"/>
      <c r="G27" s="102"/>
      <c r="H27" s="101"/>
    </row>
    <row r="28" spans="1:8">
      <c r="A28" s="101"/>
      <c r="B28" s="101"/>
      <c r="C28" s="98"/>
      <c r="D28" s="99">
        <f t="shared" si="0"/>
        <v>0</v>
      </c>
      <c r="E28" s="101"/>
      <c r="F28" s="101"/>
      <c r="G28" s="102"/>
      <c r="H28" s="101"/>
    </row>
    <row r="29" spans="1:8">
      <c r="A29" s="101"/>
      <c r="B29" s="101"/>
      <c r="C29" s="98"/>
      <c r="D29" s="99">
        <f t="shared" si="0"/>
        <v>0</v>
      </c>
      <c r="E29" s="101"/>
      <c r="F29" s="101"/>
      <c r="G29" s="102"/>
      <c r="H29" s="101"/>
    </row>
    <row r="30" spans="1:8">
      <c r="A30" s="101"/>
      <c r="B30" s="101"/>
      <c r="C30" s="98"/>
      <c r="D30" s="99">
        <f t="shared" si="0"/>
        <v>0</v>
      </c>
      <c r="E30" s="101"/>
      <c r="F30" s="101"/>
      <c r="G30" s="102"/>
      <c r="H30" s="101"/>
    </row>
    <row r="31" spans="1:8">
      <c r="A31" s="101"/>
      <c r="B31" s="101"/>
      <c r="C31" s="98"/>
      <c r="D31" s="99">
        <f t="shared" si="0"/>
        <v>0</v>
      </c>
      <c r="E31" s="101"/>
      <c r="F31" s="101"/>
      <c r="G31" s="102"/>
      <c r="H31" s="101"/>
    </row>
    <row r="32" spans="1:8">
      <c r="A32" s="101"/>
      <c r="B32" s="101"/>
      <c r="C32" s="98"/>
      <c r="D32" s="99">
        <f t="shared" si="0"/>
        <v>0</v>
      </c>
      <c r="E32" s="101"/>
      <c r="F32" s="101"/>
      <c r="G32" s="102"/>
      <c r="H32" s="101"/>
    </row>
    <row r="33" spans="1:8">
      <c r="A33" s="101"/>
      <c r="B33" s="101"/>
      <c r="C33" s="98"/>
      <c r="D33" s="99">
        <f t="shared" si="0"/>
        <v>0</v>
      </c>
      <c r="E33" s="101"/>
      <c r="F33" s="101"/>
      <c r="G33" s="102"/>
      <c r="H33" s="101"/>
    </row>
    <row r="34" spans="1:8">
      <c r="A34" s="101"/>
      <c r="B34" s="101"/>
      <c r="C34" s="98"/>
      <c r="D34" s="99">
        <f t="shared" si="0"/>
        <v>0</v>
      </c>
      <c r="E34" s="101"/>
      <c r="F34" s="101"/>
      <c r="G34" s="102"/>
      <c r="H34" s="101"/>
    </row>
    <row r="35" spans="1:8">
      <c r="A35" s="101"/>
      <c r="B35" s="101"/>
      <c r="C35" s="98"/>
      <c r="D35" s="99">
        <f t="shared" si="0"/>
        <v>0</v>
      </c>
      <c r="E35" s="101"/>
      <c r="F35" s="101"/>
      <c r="G35" s="102"/>
      <c r="H35" s="101"/>
    </row>
    <row r="36" spans="1:8">
      <c r="A36" s="101"/>
      <c r="B36" s="101"/>
      <c r="C36" s="98"/>
      <c r="D36" s="99">
        <f t="shared" si="0"/>
        <v>0</v>
      </c>
      <c r="E36" s="101"/>
      <c r="F36" s="101"/>
      <c r="G36" s="102"/>
      <c r="H36" s="101"/>
    </row>
    <row r="37" spans="1:8">
      <c r="A37" s="101"/>
      <c r="B37" s="101"/>
      <c r="C37" s="98"/>
      <c r="D37" s="99">
        <f t="shared" si="0"/>
        <v>0</v>
      </c>
      <c r="E37" s="101"/>
      <c r="F37" s="101"/>
      <c r="G37" s="102"/>
      <c r="H37" s="101"/>
    </row>
    <row r="38" spans="1:8">
      <c r="A38" s="101"/>
      <c r="B38" s="101"/>
      <c r="C38" s="98"/>
      <c r="D38" s="99">
        <f t="shared" si="0"/>
        <v>0</v>
      </c>
      <c r="E38" s="101"/>
      <c r="F38" s="101"/>
      <c r="G38" s="102"/>
      <c r="H38" s="101"/>
    </row>
    <row r="39" spans="1:8">
      <c r="A39" s="101"/>
      <c r="B39" s="101"/>
      <c r="C39" s="98"/>
      <c r="D39" s="99">
        <f t="shared" si="0"/>
        <v>0</v>
      </c>
      <c r="E39" s="101"/>
      <c r="F39" s="101"/>
      <c r="G39" s="102"/>
      <c r="H39" s="101"/>
    </row>
    <row r="40" spans="1:8">
      <c r="A40" s="101"/>
      <c r="B40" s="101"/>
      <c r="C40" s="98"/>
      <c r="D40" s="99">
        <f t="shared" si="0"/>
        <v>0</v>
      </c>
      <c r="E40" s="101"/>
      <c r="F40" s="101"/>
      <c r="G40" s="102"/>
      <c r="H40" s="101"/>
    </row>
    <row r="41" spans="1:8">
      <c r="A41" s="101"/>
      <c r="B41" s="101"/>
      <c r="C41" s="98"/>
      <c r="D41" s="99">
        <f t="shared" si="0"/>
        <v>0</v>
      </c>
      <c r="E41" s="101"/>
      <c r="F41" s="101"/>
      <c r="G41" s="102"/>
      <c r="H41" s="101"/>
    </row>
    <row r="42" spans="1:8">
      <c r="A42" s="101"/>
      <c r="B42" s="101"/>
      <c r="C42" s="98"/>
      <c r="D42" s="99">
        <f t="shared" si="0"/>
        <v>0</v>
      </c>
      <c r="E42" s="101"/>
      <c r="F42" s="101"/>
      <c r="G42" s="102"/>
      <c r="H42" s="101"/>
    </row>
    <row r="43" spans="1:8">
      <c r="A43" s="101"/>
      <c r="B43" s="101"/>
      <c r="C43" s="98"/>
      <c r="D43" s="99">
        <f t="shared" si="0"/>
        <v>0</v>
      </c>
      <c r="E43" s="101"/>
      <c r="F43" s="101"/>
      <c r="G43" s="102"/>
      <c r="H43" s="101"/>
    </row>
    <row r="44" spans="1:8">
      <c r="A44" s="101"/>
      <c r="B44" s="101"/>
      <c r="C44" s="98"/>
      <c r="D44" s="99">
        <f t="shared" si="0"/>
        <v>0</v>
      </c>
      <c r="E44" s="101"/>
      <c r="F44" s="101"/>
      <c r="G44" s="102"/>
      <c r="H44" s="101"/>
    </row>
    <row r="45" spans="1:8">
      <c r="A45" s="101"/>
      <c r="B45" s="101"/>
      <c r="C45" s="98"/>
      <c r="D45" s="99">
        <f t="shared" si="0"/>
        <v>0</v>
      </c>
      <c r="E45" s="101"/>
      <c r="F45" s="101"/>
      <c r="G45" s="102"/>
      <c r="H45" s="101"/>
    </row>
    <row r="46" spans="1:8">
      <c r="A46" s="101"/>
      <c r="B46" s="101"/>
      <c r="C46" s="98"/>
      <c r="D46" s="99">
        <f t="shared" si="0"/>
        <v>0</v>
      </c>
      <c r="E46" s="101"/>
      <c r="F46" s="101"/>
      <c r="G46" s="102"/>
      <c r="H46" s="101"/>
    </row>
    <row r="47" spans="1:8">
      <c r="A47" s="101"/>
      <c r="B47" s="101"/>
      <c r="C47" s="98"/>
      <c r="D47" s="99">
        <f t="shared" si="0"/>
        <v>0</v>
      </c>
      <c r="E47" s="101"/>
      <c r="F47" s="101"/>
      <c r="G47" s="102"/>
      <c r="H47" s="101"/>
    </row>
    <row r="48" spans="1:8">
      <c r="A48" s="101"/>
      <c r="B48" s="101"/>
      <c r="C48" s="98"/>
      <c r="D48" s="99">
        <f t="shared" si="0"/>
        <v>0</v>
      </c>
      <c r="E48" s="101"/>
      <c r="F48" s="101"/>
      <c r="G48" s="102"/>
      <c r="H48" s="101"/>
    </row>
    <row r="49" spans="1:8">
      <c r="A49" s="101"/>
      <c r="B49" s="101"/>
      <c r="C49" s="98"/>
      <c r="D49" s="99">
        <f t="shared" si="0"/>
        <v>0</v>
      </c>
      <c r="E49" s="101"/>
      <c r="F49" s="101"/>
      <c r="G49" s="102"/>
      <c r="H49" s="101"/>
    </row>
    <row r="50" spans="1:8">
      <c r="A50" s="101"/>
      <c r="B50" s="101"/>
      <c r="C50" s="98"/>
      <c r="D50" s="99">
        <f t="shared" si="0"/>
        <v>0</v>
      </c>
      <c r="E50" s="101"/>
      <c r="F50" s="101"/>
      <c r="G50" s="102"/>
      <c r="H50" s="101"/>
    </row>
  </sheetData>
  <printOptions horizontalCentered="1"/>
  <pageMargins left="0.25" right="0.25" top="0.75" bottom="0.75" header="0.3" footer="0.3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68AF-5B65-4AEA-9314-2D1250015A4A}">
  <sheetPr filterMode="1"/>
  <dimension ref="A1:K388"/>
  <sheetViews>
    <sheetView workbookViewId="0">
      <pane ySplit="1" topLeftCell="A356" activePane="bottomLeft" state="frozen"/>
      <selection pane="bottomLeft" activeCell="E388" sqref="E388"/>
    </sheetView>
  </sheetViews>
  <sheetFormatPr defaultColWidth="9.140625" defaultRowHeight="14.45"/>
  <cols>
    <col min="1" max="1" width="11.140625" style="1" bestFit="1" customWidth="1"/>
    <col min="2" max="2" width="55" style="1" customWidth="1"/>
    <col min="3" max="3" width="37.7109375" style="1" bestFit="1" customWidth="1"/>
    <col min="4" max="4" width="58.5703125" style="1" customWidth="1"/>
    <col min="5" max="5" width="12.28515625" style="1" customWidth="1"/>
    <col min="6" max="6" width="1.28515625" style="1" customWidth="1"/>
    <col min="7" max="9" width="9.140625" style="1"/>
    <col min="10" max="10" width="12.7109375" style="1" bestFit="1" customWidth="1"/>
    <col min="11" max="11" width="11.140625" style="1" bestFit="1" customWidth="1"/>
    <col min="12" max="12" width="18.85546875" style="1" bestFit="1" customWidth="1"/>
    <col min="13" max="13" width="13" style="1" bestFit="1" customWidth="1"/>
    <col min="14" max="16384" width="9.140625" style="1"/>
  </cols>
  <sheetData>
    <row r="1" spans="1:11" ht="14.45" customHeight="1">
      <c r="A1" s="65" t="s">
        <v>149</v>
      </c>
      <c r="B1" s="65" t="s">
        <v>150</v>
      </c>
      <c r="C1" s="65" t="s">
        <v>117</v>
      </c>
      <c r="D1" s="65" t="s">
        <v>151</v>
      </c>
      <c r="E1" s="65" t="s">
        <v>113</v>
      </c>
      <c r="F1" s="153"/>
    </row>
    <row r="2" spans="1:11" ht="14.45" customHeight="1">
      <c r="A2" s="62">
        <v>45406</v>
      </c>
      <c r="B2" s="60" t="s">
        <v>152</v>
      </c>
      <c r="C2" s="63" t="s">
        <v>153</v>
      </c>
      <c r="D2" s="63" t="s">
        <v>154</v>
      </c>
      <c r="E2" s="60">
        <v>1</v>
      </c>
      <c r="F2" s="153"/>
    </row>
    <row r="3" spans="1:11" ht="14.45" customHeight="1">
      <c r="A3" s="62">
        <v>45406</v>
      </c>
      <c r="B3" s="60" t="s">
        <v>152</v>
      </c>
      <c r="C3" s="63" t="s">
        <v>153</v>
      </c>
      <c r="D3" s="63" t="s">
        <v>155</v>
      </c>
      <c r="E3" s="60">
        <v>1</v>
      </c>
      <c r="F3" s="153"/>
    </row>
    <row r="4" spans="1:11" ht="14.45" customHeight="1">
      <c r="A4" s="62">
        <v>45406</v>
      </c>
      <c r="B4" s="60" t="s">
        <v>152</v>
      </c>
      <c r="C4" s="63" t="s">
        <v>153</v>
      </c>
      <c r="D4" s="60" t="s">
        <v>156</v>
      </c>
      <c r="E4" s="60">
        <v>2</v>
      </c>
      <c r="F4" s="153"/>
    </row>
    <row r="5" spans="1:11" ht="14.45" customHeight="1">
      <c r="A5" s="62">
        <v>45406</v>
      </c>
      <c r="B5" s="60" t="s">
        <v>152</v>
      </c>
      <c r="C5" s="63" t="s">
        <v>153</v>
      </c>
      <c r="D5" s="60" t="s">
        <v>157</v>
      </c>
      <c r="E5" s="60">
        <v>1</v>
      </c>
      <c r="F5" s="153"/>
      <c r="K5" s="61"/>
    </row>
    <row r="6" spans="1:11" ht="14.45" customHeight="1">
      <c r="A6" s="62">
        <v>45453</v>
      </c>
      <c r="B6" s="60" t="s">
        <v>158</v>
      </c>
      <c r="C6" s="60" t="s">
        <v>159</v>
      </c>
      <c r="D6" s="60" t="s">
        <v>160</v>
      </c>
      <c r="E6" s="60">
        <v>4</v>
      </c>
      <c r="F6" s="153"/>
      <c r="K6" s="61"/>
    </row>
    <row r="7" spans="1:11" ht="14.45" customHeight="1">
      <c r="A7" s="62">
        <v>45453</v>
      </c>
      <c r="B7" s="60" t="s">
        <v>158</v>
      </c>
      <c r="C7" s="66" t="s">
        <v>159</v>
      </c>
      <c r="D7" s="60" t="s">
        <v>52</v>
      </c>
      <c r="E7" s="60">
        <v>1</v>
      </c>
      <c r="F7" s="153"/>
      <c r="K7" s="61"/>
    </row>
    <row r="8" spans="1:11" ht="14.45" customHeight="1">
      <c r="A8" s="62">
        <v>45456</v>
      </c>
      <c r="B8" s="60" t="s">
        <v>158</v>
      </c>
      <c r="C8" s="60" t="s">
        <v>161</v>
      </c>
      <c r="D8" s="60" t="s">
        <v>162</v>
      </c>
      <c r="E8" s="60">
        <v>1</v>
      </c>
      <c r="F8" s="153"/>
      <c r="K8" s="61"/>
    </row>
    <row r="9" spans="1:11" ht="14.45" customHeight="1">
      <c r="A9" s="62">
        <v>45456</v>
      </c>
      <c r="B9" s="60" t="s">
        <v>163</v>
      </c>
      <c r="C9" s="60" t="s">
        <v>164</v>
      </c>
      <c r="D9" s="60" t="s">
        <v>165</v>
      </c>
      <c r="E9" s="60">
        <v>8</v>
      </c>
      <c r="F9" s="153"/>
      <c r="K9" s="61"/>
    </row>
    <row r="10" spans="1:11" ht="14.45" customHeight="1">
      <c r="A10" s="62">
        <v>45460</v>
      </c>
      <c r="B10" s="60" t="s">
        <v>158</v>
      </c>
      <c r="C10" s="60" t="s">
        <v>166</v>
      </c>
      <c r="D10" s="60" t="s">
        <v>167</v>
      </c>
      <c r="E10" s="60">
        <v>1</v>
      </c>
      <c r="F10" s="153"/>
      <c r="K10" s="61"/>
    </row>
    <row r="11" spans="1:11" ht="14.45" customHeight="1">
      <c r="A11" s="62">
        <v>45461</v>
      </c>
      <c r="B11" s="60" t="s">
        <v>168</v>
      </c>
      <c r="C11" s="60" t="s">
        <v>169</v>
      </c>
      <c r="D11" s="60" t="s">
        <v>160</v>
      </c>
      <c r="E11" s="60">
        <v>8</v>
      </c>
      <c r="F11" s="153"/>
    </row>
    <row r="12" spans="1:11" ht="14.45" customHeight="1">
      <c r="A12" s="62">
        <v>45461</v>
      </c>
      <c r="B12" s="60" t="s">
        <v>168</v>
      </c>
      <c r="C12" s="60" t="s">
        <v>169</v>
      </c>
      <c r="D12" s="60" t="s">
        <v>165</v>
      </c>
      <c r="E12" s="60">
        <v>4</v>
      </c>
      <c r="F12" s="153"/>
    </row>
    <row r="13" spans="1:11" ht="14.45" customHeight="1">
      <c r="A13" s="62">
        <v>45462</v>
      </c>
      <c r="B13" s="60" t="s">
        <v>158</v>
      </c>
      <c r="C13" s="60" t="s">
        <v>170</v>
      </c>
      <c r="D13" s="60" t="s">
        <v>171</v>
      </c>
      <c r="E13" s="60">
        <v>12</v>
      </c>
      <c r="F13" s="153"/>
    </row>
    <row r="14" spans="1:11" ht="14.45" customHeight="1">
      <c r="A14" s="62">
        <v>45462</v>
      </c>
      <c r="B14" s="60" t="s">
        <v>158</v>
      </c>
      <c r="C14" s="60" t="s">
        <v>172</v>
      </c>
      <c r="D14" s="60" t="s">
        <v>171</v>
      </c>
      <c r="E14" s="60">
        <v>12</v>
      </c>
      <c r="F14" s="153"/>
    </row>
    <row r="15" spans="1:11" ht="14.45" customHeight="1">
      <c r="A15" s="62">
        <v>45463</v>
      </c>
      <c r="B15" s="60" t="s">
        <v>158</v>
      </c>
      <c r="C15" s="60" t="s">
        <v>173</v>
      </c>
      <c r="D15" s="60" t="s">
        <v>171</v>
      </c>
      <c r="E15" s="60">
        <v>2</v>
      </c>
      <c r="F15" s="153"/>
    </row>
    <row r="16" spans="1:11" ht="14.45" customHeight="1">
      <c r="A16" s="62">
        <v>45464</v>
      </c>
      <c r="B16" s="60" t="s">
        <v>174</v>
      </c>
      <c r="C16" s="60" t="s">
        <v>175</v>
      </c>
      <c r="D16" s="60" t="s">
        <v>176</v>
      </c>
      <c r="E16" s="60">
        <v>2</v>
      </c>
      <c r="F16" s="153"/>
    </row>
    <row r="17" spans="1:6" ht="14.45" customHeight="1">
      <c r="A17" s="62">
        <v>45464</v>
      </c>
      <c r="B17" s="60" t="s">
        <v>174</v>
      </c>
      <c r="C17" s="60" t="s">
        <v>175</v>
      </c>
      <c r="D17" s="60" t="s">
        <v>177</v>
      </c>
      <c r="E17" s="60">
        <v>2</v>
      </c>
      <c r="F17" s="153"/>
    </row>
    <row r="18" spans="1:6" ht="14.45" customHeight="1">
      <c r="A18" s="62">
        <v>45468</v>
      </c>
      <c r="B18" s="60" t="s">
        <v>163</v>
      </c>
      <c r="C18" s="67" t="s">
        <v>164</v>
      </c>
      <c r="D18" s="60" t="s">
        <v>178</v>
      </c>
      <c r="E18" s="60">
        <v>8</v>
      </c>
      <c r="F18" s="153"/>
    </row>
    <row r="19" spans="1:6" ht="14.45" customHeight="1">
      <c r="A19" s="62">
        <v>45477</v>
      </c>
      <c r="B19" s="60" t="s">
        <v>163</v>
      </c>
      <c r="C19" s="60" t="s">
        <v>179</v>
      </c>
      <c r="D19" s="60" t="s">
        <v>180</v>
      </c>
      <c r="E19" s="60">
        <v>3</v>
      </c>
      <c r="F19" s="153"/>
    </row>
    <row r="20" spans="1:6" ht="14.45" customHeight="1">
      <c r="A20" s="62">
        <v>45477</v>
      </c>
      <c r="B20" s="60" t="s">
        <v>163</v>
      </c>
      <c r="C20" s="60" t="s">
        <v>179</v>
      </c>
      <c r="D20" s="60" t="s">
        <v>160</v>
      </c>
      <c r="E20" s="60">
        <v>5</v>
      </c>
      <c r="F20" s="153"/>
    </row>
    <row r="21" spans="1:6" ht="14.45" customHeight="1">
      <c r="A21" s="62">
        <v>45477</v>
      </c>
      <c r="B21" s="60" t="s">
        <v>163</v>
      </c>
      <c r="C21" s="60" t="s">
        <v>181</v>
      </c>
      <c r="D21" s="60" t="s">
        <v>182</v>
      </c>
      <c r="E21" s="60">
        <v>1</v>
      </c>
      <c r="F21" s="153"/>
    </row>
    <row r="22" spans="1:6" ht="14.45" customHeight="1">
      <c r="A22" s="62">
        <v>45477</v>
      </c>
      <c r="B22" s="60" t="s">
        <v>163</v>
      </c>
      <c r="C22" s="60" t="s">
        <v>181</v>
      </c>
      <c r="D22" s="60" t="s">
        <v>182</v>
      </c>
      <c r="E22" s="60">
        <v>1</v>
      </c>
      <c r="F22" s="153"/>
    </row>
    <row r="23" spans="1:6" ht="14.45" customHeight="1">
      <c r="A23" s="62">
        <v>45477</v>
      </c>
      <c r="B23" s="60" t="s">
        <v>158</v>
      </c>
      <c r="C23" s="60" t="s">
        <v>183</v>
      </c>
      <c r="D23" s="60" t="s">
        <v>184</v>
      </c>
      <c r="E23" s="60">
        <v>1</v>
      </c>
      <c r="F23" s="153"/>
    </row>
    <row r="24" spans="1:6" ht="14.45" customHeight="1">
      <c r="A24" s="62">
        <v>45488</v>
      </c>
      <c r="B24" s="60" t="s">
        <v>163</v>
      </c>
      <c r="C24" s="60" t="s">
        <v>185</v>
      </c>
      <c r="D24" s="60" t="s">
        <v>167</v>
      </c>
      <c r="E24" s="60">
        <v>1</v>
      </c>
      <c r="F24" s="153"/>
    </row>
    <row r="25" spans="1:6" ht="14.45" customHeight="1">
      <c r="A25" s="62">
        <v>45488</v>
      </c>
      <c r="B25" s="60" t="s">
        <v>163</v>
      </c>
      <c r="C25" s="60" t="s">
        <v>185</v>
      </c>
      <c r="D25" s="60" t="s">
        <v>186</v>
      </c>
      <c r="E25" s="60">
        <v>1</v>
      </c>
      <c r="F25" s="153"/>
    </row>
    <row r="26" spans="1:6" ht="14.45" customHeight="1">
      <c r="A26" s="62">
        <v>45488</v>
      </c>
      <c r="B26" s="60" t="s">
        <v>163</v>
      </c>
      <c r="C26" s="60" t="s">
        <v>185</v>
      </c>
      <c r="D26" s="60" t="s">
        <v>187</v>
      </c>
      <c r="E26" s="60">
        <v>1</v>
      </c>
      <c r="F26" s="153"/>
    </row>
    <row r="27" spans="1:6" ht="14.45" customHeight="1">
      <c r="A27" s="62">
        <v>45489</v>
      </c>
      <c r="B27" s="60" t="s">
        <v>163</v>
      </c>
      <c r="C27" s="60" t="s">
        <v>188</v>
      </c>
      <c r="D27" s="20" t="s">
        <v>48</v>
      </c>
      <c r="E27" s="60">
        <v>2</v>
      </c>
      <c r="F27" s="153"/>
    </row>
    <row r="28" spans="1:6" ht="14.45" customHeight="1">
      <c r="A28" s="62">
        <v>45497</v>
      </c>
      <c r="B28" s="60" t="s">
        <v>163</v>
      </c>
      <c r="C28" s="60" t="s">
        <v>189</v>
      </c>
      <c r="D28" s="60" t="s">
        <v>190</v>
      </c>
      <c r="E28" s="60">
        <v>4</v>
      </c>
      <c r="F28" s="153"/>
    </row>
    <row r="29" spans="1:6" ht="14.45" customHeight="1">
      <c r="A29" s="62">
        <v>45497</v>
      </c>
      <c r="B29" s="60" t="s">
        <v>163</v>
      </c>
      <c r="C29" s="60" t="s">
        <v>191</v>
      </c>
      <c r="D29" s="68" t="s">
        <v>162</v>
      </c>
      <c r="E29" s="60">
        <v>5</v>
      </c>
      <c r="F29" s="153"/>
    </row>
    <row r="30" spans="1:6" ht="14.45" customHeight="1">
      <c r="A30" s="62">
        <v>45498</v>
      </c>
      <c r="B30" s="60" t="s">
        <v>174</v>
      </c>
      <c r="C30" s="60" t="s">
        <v>192</v>
      </c>
      <c r="D30" s="60" t="s">
        <v>176</v>
      </c>
      <c r="E30" s="60">
        <v>1</v>
      </c>
      <c r="F30" s="153"/>
    </row>
    <row r="31" spans="1:6" ht="14.45" customHeight="1">
      <c r="A31" s="62">
        <v>45498</v>
      </c>
      <c r="B31" s="60" t="s">
        <v>174</v>
      </c>
      <c r="C31" s="60" t="s">
        <v>192</v>
      </c>
      <c r="D31" s="60" t="s">
        <v>177</v>
      </c>
      <c r="E31" s="60">
        <v>1</v>
      </c>
      <c r="F31" s="153"/>
    </row>
    <row r="32" spans="1:6" ht="14.45" customHeight="1">
      <c r="A32" s="62">
        <v>45499</v>
      </c>
      <c r="B32" s="60" t="s">
        <v>193</v>
      </c>
      <c r="C32" s="60" t="s">
        <v>194</v>
      </c>
      <c r="D32" s="60" t="s">
        <v>171</v>
      </c>
      <c r="E32" s="60">
        <v>1</v>
      </c>
      <c r="F32" s="153"/>
    </row>
    <row r="33" spans="1:6" ht="14.45" customHeight="1">
      <c r="A33" s="62">
        <v>45499</v>
      </c>
      <c r="B33" s="60" t="s">
        <v>193</v>
      </c>
      <c r="C33" s="60" t="s">
        <v>194</v>
      </c>
      <c r="D33" s="60" t="s">
        <v>195</v>
      </c>
      <c r="E33" s="60">
        <v>1</v>
      </c>
      <c r="F33" s="153"/>
    </row>
    <row r="34" spans="1:6" ht="14.45" customHeight="1">
      <c r="A34" s="62">
        <v>45499</v>
      </c>
      <c r="B34" s="60" t="s">
        <v>193</v>
      </c>
      <c r="C34" s="60" t="s">
        <v>194</v>
      </c>
      <c r="D34" s="60" t="s">
        <v>196</v>
      </c>
      <c r="E34" s="60">
        <v>4</v>
      </c>
      <c r="F34" s="153"/>
    </row>
    <row r="35" spans="1:6" ht="14.45" customHeight="1">
      <c r="A35" s="62">
        <v>45513</v>
      </c>
      <c r="B35" s="60" t="s">
        <v>163</v>
      </c>
      <c r="C35" s="60" t="s">
        <v>197</v>
      </c>
      <c r="D35" s="60" t="s">
        <v>160</v>
      </c>
      <c r="E35" s="60">
        <v>2</v>
      </c>
      <c r="F35" s="153"/>
    </row>
    <row r="36" spans="1:6" ht="14.45" customHeight="1">
      <c r="A36" s="62">
        <v>45514</v>
      </c>
      <c r="B36" s="60" t="s">
        <v>163</v>
      </c>
      <c r="C36" s="60" t="s">
        <v>197</v>
      </c>
      <c r="D36" s="60" t="s">
        <v>198</v>
      </c>
      <c r="E36" s="60">
        <v>4</v>
      </c>
      <c r="F36" s="153"/>
    </row>
    <row r="37" spans="1:6" ht="14.45" customHeight="1">
      <c r="A37" s="62">
        <v>45514</v>
      </c>
      <c r="B37" s="60" t="s">
        <v>163</v>
      </c>
      <c r="C37" s="60" t="s">
        <v>197</v>
      </c>
      <c r="D37" s="60" t="s">
        <v>199</v>
      </c>
      <c r="E37" s="60">
        <v>2</v>
      </c>
      <c r="F37" s="153"/>
    </row>
    <row r="38" spans="1:6" ht="14.45" customHeight="1">
      <c r="A38" s="62">
        <v>45514</v>
      </c>
      <c r="B38" s="60" t="s">
        <v>163</v>
      </c>
      <c r="C38" s="60" t="s">
        <v>197</v>
      </c>
      <c r="D38" s="60" t="s">
        <v>187</v>
      </c>
      <c r="E38" s="60">
        <v>1</v>
      </c>
      <c r="F38" s="153"/>
    </row>
    <row r="39" spans="1:6" ht="14.45" customHeight="1">
      <c r="A39" s="62">
        <v>45514</v>
      </c>
      <c r="B39" s="60" t="s">
        <v>163</v>
      </c>
      <c r="C39" s="60" t="s">
        <v>200</v>
      </c>
      <c r="D39" s="60" t="s">
        <v>201</v>
      </c>
      <c r="E39" s="60">
        <v>1</v>
      </c>
      <c r="F39" s="153"/>
    </row>
    <row r="40" spans="1:6" ht="14.45" customHeight="1">
      <c r="A40" s="62">
        <v>45514</v>
      </c>
      <c r="B40" s="60" t="s">
        <v>163</v>
      </c>
      <c r="C40" s="60" t="s">
        <v>200</v>
      </c>
      <c r="D40" s="60" t="s">
        <v>190</v>
      </c>
      <c r="E40" s="60">
        <v>1</v>
      </c>
      <c r="F40" s="153"/>
    </row>
    <row r="41" spans="1:6" ht="14.45" customHeight="1">
      <c r="A41" s="62">
        <v>45514</v>
      </c>
      <c r="B41" s="60" t="s">
        <v>163</v>
      </c>
      <c r="C41" s="60" t="s">
        <v>200</v>
      </c>
      <c r="D41" s="60" t="s">
        <v>178</v>
      </c>
      <c r="E41" s="60">
        <v>2</v>
      </c>
      <c r="F41" s="153"/>
    </row>
    <row r="42" spans="1:6" ht="14.45" customHeight="1">
      <c r="A42" s="116">
        <v>45517</v>
      </c>
      <c r="B42" s="60" t="s">
        <v>163</v>
      </c>
      <c r="C42" s="60" t="s">
        <v>202</v>
      </c>
      <c r="D42" s="63" t="s">
        <v>203</v>
      </c>
      <c r="E42" s="60">
        <v>4</v>
      </c>
      <c r="F42" s="153"/>
    </row>
    <row r="43" spans="1:6" ht="14.45" customHeight="1">
      <c r="A43" s="116">
        <v>45517</v>
      </c>
      <c r="B43" s="60" t="s">
        <v>163</v>
      </c>
      <c r="C43" s="60" t="s">
        <v>202</v>
      </c>
      <c r="D43" s="60" t="s">
        <v>201</v>
      </c>
      <c r="E43" s="60">
        <v>4</v>
      </c>
      <c r="F43" s="153"/>
    </row>
    <row r="44" spans="1:6" ht="14.45" customHeight="1">
      <c r="A44" s="116">
        <v>45517</v>
      </c>
      <c r="B44" s="60" t="s">
        <v>163</v>
      </c>
      <c r="C44" s="60" t="s">
        <v>202</v>
      </c>
      <c r="D44" s="60" t="s">
        <v>204</v>
      </c>
      <c r="E44" s="60">
        <v>2</v>
      </c>
      <c r="F44" s="153"/>
    </row>
    <row r="45" spans="1:6" ht="14.45" customHeight="1">
      <c r="A45" s="62">
        <v>45517</v>
      </c>
      <c r="B45" s="60" t="s">
        <v>205</v>
      </c>
      <c r="C45" s="60" t="s">
        <v>206</v>
      </c>
      <c r="D45" s="60" t="s">
        <v>207</v>
      </c>
      <c r="E45" s="60">
        <v>1</v>
      </c>
      <c r="F45" s="153"/>
    </row>
    <row r="46" spans="1:6" ht="14.45" customHeight="1">
      <c r="A46" s="62">
        <v>45517</v>
      </c>
      <c r="B46" s="60" t="s">
        <v>208</v>
      </c>
      <c r="C46" s="60" t="s">
        <v>209</v>
      </c>
      <c r="D46" s="60" t="s">
        <v>210</v>
      </c>
      <c r="E46" s="60">
        <v>1</v>
      </c>
      <c r="F46" s="153"/>
    </row>
    <row r="47" spans="1:6" ht="14.45" customHeight="1">
      <c r="A47" s="62">
        <v>45517</v>
      </c>
      <c r="B47" s="60" t="s">
        <v>208</v>
      </c>
      <c r="C47" s="60" t="s">
        <v>209</v>
      </c>
      <c r="D47" s="60" t="s">
        <v>176</v>
      </c>
      <c r="E47" s="60">
        <v>1</v>
      </c>
      <c r="F47" s="153"/>
    </row>
    <row r="48" spans="1:6" ht="14.45" customHeight="1">
      <c r="A48" s="89">
        <v>45517</v>
      </c>
      <c r="B48" s="88" t="s">
        <v>208</v>
      </c>
      <c r="C48" s="88" t="s">
        <v>209</v>
      </c>
      <c r="D48" s="88" t="s">
        <v>187</v>
      </c>
      <c r="E48" s="88">
        <v>1</v>
      </c>
      <c r="F48" s="153"/>
    </row>
    <row r="49" spans="1:6" ht="14.45" customHeight="1">
      <c r="A49" s="62">
        <v>45518</v>
      </c>
      <c r="B49" s="60" t="s">
        <v>163</v>
      </c>
      <c r="C49" s="60" t="s">
        <v>211</v>
      </c>
      <c r="D49" s="60" t="s">
        <v>212</v>
      </c>
      <c r="E49" s="60">
        <v>1</v>
      </c>
      <c r="F49" s="154"/>
    </row>
    <row r="50" spans="1:6" ht="14.45" customHeight="1">
      <c r="A50" s="62">
        <v>45518</v>
      </c>
      <c r="B50" s="60" t="s">
        <v>213</v>
      </c>
      <c r="C50" s="60" t="s">
        <v>214</v>
      </c>
      <c r="D50" s="60" t="s">
        <v>215</v>
      </c>
      <c r="E50" s="60">
        <v>1</v>
      </c>
      <c r="F50" s="154"/>
    </row>
    <row r="51" spans="1:6" ht="14.45" customHeight="1">
      <c r="A51" s="62">
        <v>45518</v>
      </c>
      <c r="B51" s="60" t="s">
        <v>213</v>
      </c>
      <c r="C51" s="60" t="s">
        <v>214</v>
      </c>
      <c r="D51" s="60" t="s">
        <v>204</v>
      </c>
      <c r="E51" s="60">
        <v>1</v>
      </c>
      <c r="F51" s="154"/>
    </row>
    <row r="52" spans="1:6" ht="14.45" customHeight="1">
      <c r="A52" s="62">
        <v>45518</v>
      </c>
      <c r="B52" s="60" t="s">
        <v>213</v>
      </c>
      <c r="C52" s="60" t="s">
        <v>214</v>
      </c>
      <c r="D52" s="60" t="s">
        <v>216</v>
      </c>
      <c r="E52" s="60">
        <v>1</v>
      </c>
      <c r="F52" s="154"/>
    </row>
    <row r="53" spans="1:6" ht="14.45" customHeight="1">
      <c r="A53" s="62">
        <v>45518</v>
      </c>
      <c r="B53" s="60" t="s">
        <v>217</v>
      </c>
      <c r="C53" s="60" t="s">
        <v>218</v>
      </c>
      <c r="D53" s="60" t="s">
        <v>204</v>
      </c>
      <c r="E53" s="60">
        <v>1</v>
      </c>
      <c r="F53" s="154"/>
    </row>
    <row r="54" spans="1:6" ht="14.45" customHeight="1">
      <c r="A54" s="62">
        <v>45518</v>
      </c>
      <c r="B54" s="60" t="s">
        <v>219</v>
      </c>
      <c r="C54" s="60" t="s">
        <v>200</v>
      </c>
      <c r="D54" s="60" t="s">
        <v>216</v>
      </c>
      <c r="E54" s="60">
        <v>1</v>
      </c>
      <c r="F54" s="154"/>
    </row>
    <row r="55" spans="1:6" ht="14.45" customHeight="1">
      <c r="A55" s="62">
        <v>45519</v>
      </c>
      <c r="B55" s="60" t="s">
        <v>163</v>
      </c>
      <c r="C55" s="60" t="s">
        <v>220</v>
      </c>
      <c r="D55" s="60" t="s">
        <v>221</v>
      </c>
      <c r="E55" s="60">
        <v>4</v>
      </c>
      <c r="F55" s="154"/>
    </row>
    <row r="56" spans="1:6" ht="14.45" customHeight="1">
      <c r="A56" s="62">
        <v>45519</v>
      </c>
      <c r="B56" s="60" t="s">
        <v>163</v>
      </c>
      <c r="C56" s="60" t="s">
        <v>220</v>
      </c>
      <c r="D56" s="60" t="s">
        <v>52</v>
      </c>
      <c r="E56" s="60">
        <v>1</v>
      </c>
      <c r="F56" s="154"/>
    </row>
    <row r="57" spans="1:6" ht="14.45" customHeight="1">
      <c r="A57" s="62">
        <v>45520</v>
      </c>
      <c r="B57" s="60" t="s">
        <v>222</v>
      </c>
      <c r="C57" s="60" t="s">
        <v>223</v>
      </c>
      <c r="D57" s="20" t="s">
        <v>49</v>
      </c>
      <c r="E57" s="60">
        <v>1</v>
      </c>
      <c r="F57" s="154"/>
    </row>
    <row r="58" spans="1:6" ht="14.45" customHeight="1">
      <c r="A58" s="62">
        <v>45520</v>
      </c>
      <c r="B58" s="60" t="s">
        <v>222</v>
      </c>
      <c r="C58" s="60" t="s">
        <v>223</v>
      </c>
      <c r="D58" s="60" t="s">
        <v>216</v>
      </c>
      <c r="E58" s="60">
        <v>1</v>
      </c>
      <c r="F58" s="154"/>
    </row>
    <row r="59" spans="1:6" ht="14.45" customHeight="1">
      <c r="A59" s="62">
        <v>45523</v>
      </c>
      <c r="B59" s="60" t="s">
        <v>222</v>
      </c>
      <c r="C59" s="60" t="s">
        <v>224</v>
      </c>
      <c r="D59" s="60" t="s">
        <v>225</v>
      </c>
      <c r="E59" s="60">
        <v>6</v>
      </c>
      <c r="F59" s="154"/>
    </row>
    <row r="60" spans="1:6" ht="14.45" customHeight="1">
      <c r="A60" s="62">
        <v>45523</v>
      </c>
      <c r="B60" s="60" t="s">
        <v>222</v>
      </c>
      <c r="C60" s="60" t="s">
        <v>224</v>
      </c>
      <c r="D60" s="60" t="s">
        <v>226</v>
      </c>
      <c r="E60" s="60">
        <v>6</v>
      </c>
      <c r="F60" s="154"/>
    </row>
    <row r="61" spans="1:6" ht="14.45" customHeight="1">
      <c r="A61" s="62">
        <v>45523</v>
      </c>
      <c r="B61" s="60" t="s">
        <v>222</v>
      </c>
      <c r="C61" s="60" t="s">
        <v>224</v>
      </c>
      <c r="D61" s="60" t="s">
        <v>227</v>
      </c>
      <c r="E61" s="60">
        <v>6</v>
      </c>
      <c r="F61" s="154"/>
    </row>
    <row r="62" spans="1:6" ht="14.45" customHeight="1">
      <c r="A62" s="62">
        <v>45523</v>
      </c>
      <c r="B62" s="60" t="s">
        <v>213</v>
      </c>
      <c r="C62" s="60" t="s">
        <v>228</v>
      </c>
      <c r="D62" s="60" t="s">
        <v>226</v>
      </c>
      <c r="E62" s="60">
        <v>1</v>
      </c>
      <c r="F62" s="154"/>
    </row>
    <row r="63" spans="1:6" ht="14.45" customHeight="1">
      <c r="A63" s="62">
        <v>45524</v>
      </c>
      <c r="B63" s="60" t="s">
        <v>217</v>
      </c>
      <c r="C63" s="60" t="s">
        <v>218</v>
      </c>
      <c r="D63" s="60" t="s">
        <v>229</v>
      </c>
      <c r="E63" s="60">
        <v>1</v>
      </c>
      <c r="F63" s="154"/>
    </row>
    <row r="64" spans="1:6" ht="14.45" customHeight="1">
      <c r="A64" s="62">
        <v>45524</v>
      </c>
      <c r="B64" s="60" t="s">
        <v>217</v>
      </c>
      <c r="C64" s="60" t="s">
        <v>218</v>
      </c>
      <c r="D64" s="60" t="s">
        <v>187</v>
      </c>
      <c r="E64" s="60">
        <v>1</v>
      </c>
      <c r="F64" s="154"/>
    </row>
    <row r="65" spans="1:6" ht="14.45" customHeight="1">
      <c r="A65" s="62">
        <v>45525</v>
      </c>
      <c r="B65" s="60" t="s">
        <v>158</v>
      </c>
      <c r="C65" s="60" t="s">
        <v>230</v>
      </c>
      <c r="D65" s="60" t="s">
        <v>201</v>
      </c>
      <c r="E65" s="60">
        <v>2</v>
      </c>
      <c r="F65" s="154"/>
    </row>
    <row r="66" spans="1:6" ht="14.45" customHeight="1">
      <c r="A66" s="62">
        <v>45532</v>
      </c>
      <c r="B66" s="60" t="s">
        <v>158</v>
      </c>
      <c r="C66" s="60"/>
      <c r="D66" s="60" t="s">
        <v>47</v>
      </c>
      <c r="E66" s="60">
        <v>1</v>
      </c>
      <c r="F66" s="154"/>
    </row>
    <row r="67" spans="1:6" ht="14.45" customHeight="1">
      <c r="A67" s="62">
        <v>45533</v>
      </c>
      <c r="B67" s="60" t="s">
        <v>163</v>
      </c>
      <c r="C67" s="60" t="s">
        <v>231</v>
      </c>
      <c r="D67" s="60" t="s">
        <v>232</v>
      </c>
      <c r="E67" s="60">
        <v>8</v>
      </c>
      <c r="F67" s="154"/>
    </row>
    <row r="68" spans="1:6" ht="14.45" customHeight="1">
      <c r="A68" s="62">
        <v>45538</v>
      </c>
      <c r="B68" s="60" t="s">
        <v>174</v>
      </c>
      <c r="C68" s="60" t="s">
        <v>233</v>
      </c>
      <c r="D68" s="60" t="s">
        <v>216</v>
      </c>
      <c r="E68" s="60">
        <v>2</v>
      </c>
      <c r="F68" s="154"/>
    </row>
    <row r="69" spans="1:6" ht="14.45" customHeight="1">
      <c r="A69" s="62">
        <v>45538</v>
      </c>
      <c r="B69" s="60" t="s">
        <v>174</v>
      </c>
      <c r="C69" s="60" t="s">
        <v>233</v>
      </c>
      <c r="D69" s="60" t="s">
        <v>204</v>
      </c>
      <c r="E69" s="60">
        <v>1</v>
      </c>
      <c r="F69" s="154"/>
    </row>
    <row r="70" spans="1:6" ht="14.45" customHeight="1">
      <c r="A70" s="62">
        <v>45538</v>
      </c>
      <c r="B70" s="60" t="s">
        <v>174</v>
      </c>
      <c r="C70" s="60" t="s">
        <v>233</v>
      </c>
      <c r="D70" s="60" t="s">
        <v>187</v>
      </c>
      <c r="E70" s="60">
        <v>2</v>
      </c>
      <c r="F70" s="154"/>
    </row>
    <row r="71" spans="1:6" ht="14.45" customHeight="1">
      <c r="A71" s="62">
        <v>45538</v>
      </c>
      <c r="B71" s="60" t="s">
        <v>158</v>
      </c>
      <c r="C71" s="60" t="s">
        <v>234</v>
      </c>
      <c r="D71" s="60" t="s">
        <v>235</v>
      </c>
      <c r="E71" s="60">
        <v>1</v>
      </c>
      <c r="F71" s="154"/>
    </row>
    <row r="72" spans="1:6" ht="14.45" customHeight="1">
      <c r="A72" s="62">
        <v>45538</v>
      </c>
      <c r="B72" s="60" t="s">
        <v>158</v>
      </c>
      <c r="C72" s="60" t="s">
        <v>234</v>
      </c>
      <c r="D72" s="60" t="s">
        <v>236</v>
      </c>
      <c r="E72" s="60">
        <v>1</v>
      </c>
      <c r="F72" s="154"/>
    </row>
    <row r="73" spans="1:6" ht="14.45" customHeight="1">
      <c r="A73" s="62">
        <v>45538</v>
      </c>
      <c r="B73" s="60" t="s">
        <v>158</v>
      </c>
      <c r="C73" s="60" t="s">
        <v>234</v>
      </c>
      <c r="D73" s="60" t="s">
        <v>187</v>
      </c>
      <c r="E73" s="60">
        <v>1</v>
      </c>
      <c r="F73" s="154"/>
    </row>
    <row r="74" spans="1:6" ht="14.45" customHeight="1">
      <c r="A74" s="62">
        <v>45544</v>
      </c>
      <c r="B74" s="60" t="s">
        <v>168</v>
      </c>
      <c r="C74" s="60" t="s">
        <v>237</v>
      </c>
      <c r="D74" s="60" t="s">
        <v>162</v>
      </c>
      <c r="E74" s="60">
        <v>3</v>
      </c>
      <c r="F74" s="154"/>
    </row>
    <row r="75" spans="1:6" ht="14.45" customHeight="1">
      <c r="A75" s="62">
        <v>45544</v>
      </c>
      <c r="B75" s="60" t="s">
        <v>168</v>
      </c>
      <c r="C75" s="60" t="s">
        <v>237</v>
      </c>
      <c r="D75" s="60" t="s">
        <v>171</v>
      </c>
      <c r="E75" s="60">
        <v>3</v>
      </c>
      <c r="F75" s="154"/>
    </row>
    <row r="76" spans="1:6" ht="14.45" customHeight="1">
      <c r="A76" s="62">
        <v>45544</v>
      </c>
      <c r="B76" s="60" t="s">
        <v>168</v>
      </c>
      <c r="C76" s="60" t="s">
        <v>237</v>
      </c>
      <c r="D76" s="60" t="s">
        <v>238</v>
      </c>
      <c r="E76" s="60">
        <v>12</v>
      </c>
      <c r="F76" s="87"/>
    </row>
    <row r="77" spans="1:6" ht="14.45" customHeight="1">
      <c r="A77" s="62">
        <v>45544</v>
      </c>
      <c r="B77" s="60" t="s">
        <v>168</v>
      </c>
      <c r="C77" s="60" t="s">
        <v>237</v>
      </c>
      <c r="D77" s="60" t="s">
        <v>239</v>
      </c>
      <c r="E77" s="60">
        <v>6</v>
      </c>
      <c r="F77" s="87"/>
    </row>
    <row r="78" spans="1:6" ht="14.45" customHeight="1">
      <c r="A78" s="62">
        <v>45544</v>
      </c>
      <c r="B78" s="60" t="s">
        <v>168</v>
      </c>
      <c r="C78" s="60" t="s">
        <v>237</v>
      </c>
      <c r="D78" s="60" t="s">
        <v>240</v>
      </c>
      <c r="E78" s="60">
        <v>1</v>
      </c>
      <c r="F78" s="87"/>
    </row>
    <row r="79" spans="1:6" ht="14.45" customHeight="1">
      <c r="A79" s="62">
        <v>45544</v>
      </c>
      <c r="B79" s="60" t="s">
        <v>168</v>
      </c>
      <c r="C79" s="60" t="s">
        <v>237</v>
      </c>
      <c r="D79" s="60" t="s">
        <v>241</v>
      </c>
      <c r="E79" s="60">
        <v>2</v>
      </c>
      <c r="F79" s="87"/>
    </row>
    <row r="80" spans="1:6" ht="14.45" customHeight="1">
      <c r="A80" s="62">
        <v>45545</v>
      </c>
      <c r="B80" s="60" t="s">
        <v>168</v>
      </c>
      <c r="C80" s="63" t="s">
        <v>242</v>
      </c>
      <c r="D80" s="63" t="s">
        <v>243</v>
      </c>
      <c r="E80" s="64">
        <v>4</v>
      </c>
      <c r="F80" s="87"/>
    </row>
    <row r="81" spans="1:6" ht="14.45" customHeight="1">
      <c r="A81" s="62">
        <v>45545</v>
      </c>
      <c r="B81" s="60" t="s">
        <v>168</v>
      </c>
      <c r="C81" s="63" t="s">
        <v>242</v>
      </c>
      <c r="D81" s="63" t="s">
        <v>244</v>
      </c>
      <c r="E81" s="60">
        <v>2</v>
      </c>
      <c r="F81" s="87"/>
    </row>
    <row r="82" spans="1:6" ht="14.45" customHeight="1">
      <c r="A82" s="62">
        <v>45545</v>
      </c>
      <c r="B82" s="60" t="s">
        <v>168</v>
      </c>
      <c r="C82" s="63" t="s">
        <v>242</v>
      </c>
      <c r="D82" s="63" t="s">
        <v>203</v>
      </c>
      <c r="E82" s="60">
        <v>6</v>
      </c>
      <c r="F82" s="87"/>
    </row>
    <row r="83" spans="1:6" ht="14.45" customHeight="1">
      <c r="A83" s="62">
        <v>45545</v>
      </c>
      <c r="B83" s="60" t="s">
        <v>168</v>
      </c>
      <c r="C83" s="63" t="s">
        <v>242</v>
      </c>
      <c r="D83" s="63" t="s">
        <v>245</v>
      </c>
      <c r="E83" s="60">
        <v>9</v>
      </c>
      <c r="F83" s="87"/>
    </row>
    <row r="84" spans="1:6" ht="14.45" customHeight="1">
      <c r="A84" s="62">
        <v>45545</v>
      </c>
      <c r="B84" s="60" t="s">
        <v>168</v>
      </c>
      <c r="C84" s="63" t="s">
        <v>242</v>
      </c>
      <c r="D84" s="60" t="s">
        <v>47</v>
      </c>
      <c r="E84" s="60">
        <v>1</v>
      </c>
      <c r="F84" s="87"/>
    </row>
    <row r="85" spans="1:6" ht="14.45" customHeight="1">
      <c r="A85" s="62">
        <v>45545</v>
      </c>
      <c r="B85" s="60" t="s">
        <v>168</v>
      </c>
      <c r="C85" s="63" t="s">
        <v>242</v>
      </c>
      <c r="D85" s="60" t="s">
        <v>246</v>
      </c>
      <c r="E85" s="60">
        <v>1</v>
      </c>
      <c r="F85" s="87"/>
    </row>
    <row r="86" spans="1:6" ht="14.45" customHeight="1">
      <c r="A86" s="62">
        <v>45545</v>
      </c>
      <c r="B86" s="60" t="s">
        <v>168</v>
      </c>
      <c r="C86" s="63" t="s">
        <v>242</v>
      </c>
      <c r="D86" s="60" t="s">
        <v>216</v>
      </c>
      <c r="E86" s="60">
        <v>1</v>
      </c>
      <c r="F86" s="87"/>
    </row>
    <row r="87" spans="1:6" ht="14.45" customHeight="1">
      <c r="A87" s="62">
        <v>45547</v>
      </c>
      <c r="B87" s="60" t="s">
        <v>247</v>
      </c>
      <c r="C87" s="60" t="s">
        <v>248</v>
      </c>
      <c r="D87" s="60" t="s">
        <v>249</v>
      </c>
      <c r="E87" s="60">
        <v>1</v>
      </c>
      <c r="F87" s="87"/>
    </row>
    <row r="88" spans="1:6" ht="14.45" customHeight="1">
      <c r="A88" s="62">
        <v>45547</v>
      </c>
      <c r="B88" s="60" t="s">
        <v>247</v>
      </c>
      <c r="C88" s="60" t="s">
        <v>248</v>
      </c>
      <c r="D88" s="60" t="s">
        <v>250</v>
      </c>
      <c r="E88" s="60">
        <v>1</v>
      </c>
      <c r="F88" s="87"/>
    </row>
    <row r="89" spans="1:6" ht="14.45" customHeight="1">
      <c r="A89" s="62">
        <v>45547</v>
      </c>
      <c r="B89" s="60" t="s">
        <v>247</v>
      </c>
      <c r="C89" s="60" t="s">
        <v>248</v>
      </c>
      <c r="D89" s="60" t="s">
        <v>187</v>
      </c>
      <c r="E89" s="60">
        <v>1</v>
      </c>
      <c r="F89" s="87"/>
    </row>
    <row r="90" spans="1:6" ht="14.45" customHeight="1">
      <c r="A90" s="62">
        <v>45548</v>
      </c>
      <c r="B90" s="60" t="s">
        <v>222</v>
      </c>
      <c r="C90" s="60" t="s">
        <v>251</v>
      </c>
      <c r="D90" s="63" t="s">
        <v>243</v>
      </c>
      <c r="E90" s="60">
        <v>1</v>
      </c>
      <c r="F90" s="87"/>
    </row>
    <row r="91" spans="1:6" ht="14.45" customHeight="1">
      <c r="A91" s="62">
        <v>45548</v>
      </c>
      <c r="B91" s="60" t="s">
        <v>222</v>
      </c>
      <c r="C91" s="60" t="s">
        <v>251</v>
      </c>
      <c r="D91" s="63" t="s">
        <v>203</v>
      </c>
      <c r="E91" s="60">
        <v>1</v>
      </c>
      <c r="F91" s="87"/>
    </row>
    <row r="92" spans="1:6" ht="14.45" customHeight="1">
      <c r="A92" s="62">
        <v>45548</v>
      </c>
      <c r="B92" s="60" t="s">
        <v>222</v>
      </c>
      <c r="C92" s="60" t="s">
        <v>251</v>
      </c>
      <c r="D92" s="63" t="s">
        <v>252</v>
      </c>
      <c r="E92" s="60">
        <v>1</v>
      </c>
      <c r="F92" s="87"/>
    </row>
    <row r="93" spans="1:6" ht="14.45" customHeight="1">
      <c r="A93" s="62">
        <v>45548</v>
      </c>
      <c r="B93" s="60" t="s">
        <v>222</v>
      </c>
      <c r="C93" s="60" t="s">
        <v>251</v>
      </c>
      <c r="D93" s="63" t="s">
        <v>249</v>
      </c>
      <c r="E93" s="60">
        <v>1</v>
      </c>
      <c r="F93" s="87"/>
    </row>
    <row r="94" spans="1:6" ht="14.45" customHeight="1">
      <c r="A94" s="62">
        <v>45548</v>
      </c>
      <c r="B94" s="60" t="s">
        <v>222</v>
      </c>
      <c r="C94" s="60" t="s">
        <v>251</v>
      </c>
      <c r="D94" s="63" t="s">
        <v>156</v>
      </c>
      <c r="E94" s="60">
        <v>1</v>
      </c>
      <c r="F94" s="87"/>
    </row>
    <row r="95" spans="1:6" ht="14.45" customHeight="1">
      <c r="A95" s="62">
        <v>45550</v>
      </c>
      <c r="B95" s="60" t="s">
        <v>222</v>
      </c>
      <c r="C95" s="60" t="s">
        <v>253</v>
      </c>
      <c r="D95" s="60" t="s">
        <v>47</v>
      </c>
      <c r="E95" s="60">
        <v>2</v>
      </c>
      <c r="F95" s="87"/>
    </row>
    <row r="96" spans="1:6">
      <c r="A96" s="62">
        <v>45554</v>
      </c>
      <c r="B96" s="60" t="s">
        <v>222</v>
      </c>
      <c r="C96" s="60" t="s">
        <v>254</v>
      </c>
      <c r="D96" s="60" t="s">
        <v>157</v>
      </c>
      <c r="E96" s="60">
        <v>1</v>
      </c>
      <c r="F96" s="87"/>
    </row>
    <row r="97" spans="1:6">
      <c r="A97" s="62">
        <v>45554</v>
      </c>
      <c r="B97" s="60" t="s">
        <v>222</v>
      </c>
      <c r="C97" s="60" t="s">
        <v>254</v>
      </c>
      <c r="D97" s="60" t="s">
        <v>255</v>
      </c>
      <c r="E97" s="60">
        <v>1</v>
      </c>
      <c r="F97" s="87"/>
    </row>
    <row r="98" spans="1:6">
      <c r="A98" s="62">
        <v>45554</v>
      </c>
      <c r="B98" s="60" t="s">
        <v>222</v>
      </c>
      <c r="C98" s="60" t="s">
        <v>254</v>
      </c>
      <c r="D98" s="60" t="s">
        <v>156</v>
      </c>
      <c r="E98" s="60">
        <v>2</v>
      </c>
      <c r="F98" s="87"/>
    </row>
    <row r="99" spans="1:6">
      <c r="A99" s="62">
        <v>45554</v>
      </c>
      <c r="B99" s="60" t="s">
        <v>222</v>
      </c>
      <c r="C99" s="60" t="s">
        <v>254</v>
      </c>
      <c r="D99" s="63" t="s">
        <v>256</v>
      </c>
      <c r="E99" s="60">
        <v>1</v>
      </c>
      <c r="F99" s="87"/>
    </row>
    <row r="100" spans="1:6">
      <c r="A100" s="62">
        <v>45565</v>
      </c>
      <c r="B100" s="60" t="s">
        <v>222</v>
      </c>
      <c r="C100" s="63" t="s">
        <v>257</v>
      </c>
      <c r="D100" s="60" t="s">
        <v>258</v>
      </c>
      <c r="E100" s="60">
        <v>3</v>
      </c>
      <c r="F100" s="87"/>
    </row>
    <row r="101" spans="1:6">
      <c r="A101" s="62">
        <v>45565</v>
      </c>
      <c r="B101" s="60" t="s">
        <v>222</v>
      </c>
      <c r="C101" s="63" t="s">
        <v>257</v>
      </c>
      <c r="D101" s="60" t="s">
        <v>259</v>
      </c>
      <c r="E101" s="60">
        <v>13</v>
      </c>
      <c r="F101" s="87"/>
    </row>
    <row r="102" spans="1:6">
      <c r="A102" s="62">
        <v>45565</v>
      </c>
      <c r="B102" s="60" t="s">
        <v>222</v>
      </c>
      <c r="C102" s="63" t="s">
        <v>257</v>
      </c>
      <c r="D102" s="60" t="s">
        <v>260</v>
      </c>
      <c r="E102" s="60">
        <v>12</v>
      </c>
      <c r="F102" s="87"/>
    </row>
    <row r="103" spans="1:6">
      <c r="A103" s="62">
        <v>45565</v>
      </c>
      <c r="B103" s="60" t="s">
        <v>222</v>
      </c>
      <c r="C103" s="63" t="s">
        <v>257</v>
      </c>
      <c r="D103" s="60" t="s">
        <v>261</v>
      </c>
      <c r="E103" s="60">
        <v>13</v>
      </c>
      <c r="F103" s="87"/>
    </row>
    <row r="104" spans="1:6">
      <c r="A104" s="62">
        <v>45574</v>
      </c>
      <c r="B104" s="60" t="s">
        <v>262</v>
      </c>
      <c r="C104" s="60" t="s">
        <v>263</v>
      </c>
      <c r="D104" s="60" t="s">
        <v>264</v>
      </c>
      <c r="E104" s="60">
        <v>1</v>
      </c>
      <c r="F104" s="87"/>
    </row>
    <row r="105" spans="1:6">
      <c r="A105" s="62">
        <v>45574</v>
      </c>
      <c r="B105" s="60" t="s">
        <v>262</v>
      </c>
      <c r="C105" s="60" t="s">
        <v>263</v>
      </c>
      <c r="D105" s="60" t="s">
        <v>156</v>
      </c>
      <c r="E105" s="60">
        <v>1</v>
      </c>
      <c r="F105" s="87"/>
    </row>
    <row r="106" spans="1:6">
      <c r="A106" s="62">
        <v>45576</v>
      </c>
      <c r="B106" s="60" t="s">
        <v>222</v>
      </c>
      <c r="C106" s="60" t="s">
        <v>265</v>
      </c>
      <c r="D106" s="60" t="s">
        <v>266</v>
      </c>
      <c r="E106" s="60">
        <v>1</v>
      </c>
      <c r="F106" s="87"/>
    </row>
    <row r="107" spans="1:6">
      <c r="A107" s="62">
        <v>45582</v>
      </c>
      <c r="B107" s="60" t="s">
        <v>152</v>
      </c>
      <c r="C107" s="60" t="s">
        <v>267</v>
      </c>
      <c r="D107" s="63" t="s">
        <v>268</v>
      </c>
      <c r="E107" s="60">
        <v>1</v>
      </c>
      <c r="F107" s="87"/>
    </row>
    <row r="108" spans="1:6">
      <c r="A108" s="62">
        <v>45582</v>
      </c>
      <c r="B108" s="60" t="s">
        <v>152</v>
      </c>
      <c r="C108" s="60" t="s">
        <v>267</v>
      </c>
      <c r="D108" s="63" t="s">
        <v>269</v>
      </c>
      <c r="E108" s="60">
        <v>1</v>
      </c>
      <c r="F108" s="87"/>
    </row>
    <row r="109" spans="1:6">
      <c r="A109" s="62">
        <v>45582</v>
      </c>
      <c r="B109" s="60" t="s">
        <v>152</v>
      </c>
      <c r="C109" s="60" t="s">
        <v>267</v>
      </c>
      <c r="D109" s="60" t="s">
        <v>156</v>
      </c>
      <c r="E109" s="60">
        <v>1</v>
      </c>
      <c r="F109" s="87"/>
    </row>
    <row r="110" spans="1:6">
      <c r="A110" s="62">
        <v>45583</v>
      </c>
      <c r="B110" s="60" t="s">
        <v>152</v>
      </c>
      <c r="C110" s="60" t="s">
        <v>270</v>
      </c>
      <c r="D110" s="63" t="s">
        <v>271</v>
      </c>
      <c r="E110" s="60">
        <v>1</v>
      </c>
      <c r="F110" s="87"/>
    </row>
    <row r="111" spans="1:6">
      <c r="A111" s="62">
        <v>45583</v>
      </c>
      <c r="B111" s="60" t="s">
        <v>152</v>
      </c>
      <c r="C111" s="60" t="s">
        <v>270</v>
      </c>
      <c r="D111" s="63" t="s">
        <v>269</v>
      </c>
      <c r="E111" s="60">
        <v>1</v>
      </c>
      <c r="F111" s="87"/>
    </row>
    <row r="112" spans="1:6">
      <c r="A112" s="62">
        <v>45583</v>
      </c>
      <c r="B112" s="60" t="s">
        <v>152</v>
      </c>
      <c r="C112" s="60" t="s">
        <v>270</v>
      </c>
      <c r="D112" s="60" t="s">
        <v>272</v>
      </c>
      <c r="E112" s="60">
        <v>1</v>
      </c>
      <c r="F112" s="87"/>
    </row>
    <row r="113" spans="1:6">
      <c r="A113" s="62">
        <v>45583</v>
      </c>
      <c r="B113" s="60" t="s">
        <v>152</v>
      </c>
      <c r="C113" s="60" t="s">
        <v>270</v>
      </c>
      <c r="D113" s="60" t="s">
        <v>47</v>
      </c>
      <c r="E113" s="60">
        <v>1</v>
      </c>
      <c r="F113" s="87"/>
    </row>
    <row r="114" spans="1:6">
      <c r="A114" s="62">
        <v>45583</v>
      </c>
      <c r="B114" s="60" t="s">
        <v>152</v>
      </c>
      <c r="C114" s="60" t="s">
        <v>270</v>
      </c>
      <c r="D114" s="60" t="s">
        <v>52</v>
      </c>
      <c r="E114" s="60">
        <v>1</v>
      </c>
      <c r="F114" s="87"/>
    </row>
    <row r="115" spans="1:6">
      <c r="A115" s="62">
        <v>45587</v>
      </c>
      <c r="B115" s="60" t="s">
        <v>152</v>
      </c>
      <c r="C115" s="60" t="s">
        <v>273</v>
      </c>
      <c r="D115" s="60" t="s">
        <v>274</v>
      </c>
      <c r="E115" s="60">
        <v>2</v>
      </c>
      <c r="F115" s="87"/>
    </row>
    <row r="116" spans="1:6">
      <c r="A116" s="62">
        <v>45588</v>
      </c>
      <c r="B116" s="60" t="s">
        <v>222</v>
      </c>
      <c r="C116" s="60" t="s">
        <v>275</v>
      </c>
      <c r="D116" s="60" t="s">
        <v>47</v>
      </c>
      <c r="E116" s="60">
        <v>1</v>
      </c>
      <c r="F116" s="87"/>
    </row>
    <row r="117" spans="1:6">
      <c r="A117" s="62">
        <v>45589</v>
      </c>
      <c r="B117" s="60" t="s">
        <v>222</v>
      </c>
      <c r="C117" s="60" t="s">
        <v>276</v>
      </c>
      <c r="D117" s="60" t="s">
        <v>277</v>
      </c>
      <c r="E117" s="60">
        <v>1</v>
      </c>
      <c r="F117" s="87"/>
    </row>
    <row r="118" spans="1:6">
      <c r="A118" s="62">
        <v>45590</v>
      </c>
      <c r="B118" s="60" t="s">
        <v>152</v>
      </c>
      <c r="C118" s="60" t="s">
        <v>278</v>
      </c>
      <c r="D118" s="60" t="s">
        <v>64</v>
      </c>
      <c r="E118" s="60">
        <v>2</v>
      </c>
      <c r="F118" s="87"/>
    </row>
    <row r="119" spans="1:6">
      <c r="A119" s="62">
        <v>45594</v>
      </c>
      <c r="B119" s="60" t="s">
        <v>163</v>
      </c>
      <c r="C119" s="60" t="s">
        <v>279</v>
      </c>
      <c r="D119" s="60" t="s">
        <v>49</v>
      </c>
      <c r="E119" s="60">
        <v>4</v>
      </c>
      <c r="F119" s="87"/>
    </row>
    <row r="120" spans="1:6">
      <c r="A120" s="62">
        <v>45594</v>
      </c>
      <c r="B120" s="60" t="s">
        <v>222</v>
      </c>
      <c r="C120" s="60" t="s">
        <v>275</v>
      </c>
      <c r="D120" s="60" t="s">
        <v>47</v>
      </c>
      <c r="E120" s="60">
        <v>1</v>
      </c>
      <c r="F120" s="87"/>
    </row>
    <row r="121" spans="1:6">
      <c r="A121" s="62">
        <v>45597</v>
      </c>
      <c r="B121" s="60" t="s">
        <v>163</v>
      </c>
      <c r="C121" s="60" t="s">
        <v>280</v>
      </c>
      <c r="D121" s="60" t="s">
        <v>281</v>
      </c>
      <c r="E121" s="60">
        <v>4</v>
      </c>
      <c r="F121" s="87"/>
    </row>
    <row r="122" spans="1:6">
      <c r="A122" s="116">
        <v>45597</v>
      </c>
      <c r="B122" s="64" t="s">
        <v>163</v>
      </c>
      <c r="C122" s="64" t="s">
        <v>280</v>
      </c>
      <c r="D122" s="64" t="s">
        <v>282</v>
      </c>
      <c r="E122" s="64">
        <v>3</v>
      </c>
      <c r="F122" s="87"/>
    </row>
    <row r="123" spans="1:6">
      <c r="A123" s="62">
        <v>45597</v>
      </c>
      <c r="B123" s="60" t="s">
        <v>163</v>
      </c>
      <c r="C123" s="60" t="s">
        <v>280</v>
      </c>
      <c r="D123" s="60" t="s">
        <v>283</v>
      </c>
      <c r="E123" s="60">
        <v>1</v>
      </c>
      <c r="F123" s="87"/>
    </row>
    <row r="124" spans="1:6">
      <c r="A124" s="62">
        <v>45597</v>
      </c>
      <c r="B124" s="60" t="s">
        <v>163</v>
      </c>
      <c r="C124" s="60" t="s">
        <v>280</v>
      </c>
      <c r="D124" s="60" t="s">
        <v>196</v>
      </c>
      <c r="E124" s="60">
        <v>1</v>
      </c>
      <c r="F124" s="87"/>
    </row>
    <row r="125" spans="1:6">
      <c r="A125" s="62">
        <v>45597</v>
      </c>
      <c r="B125" s="60" t="s">
        <v>163</v>
      </c>
      <c r="C125" s="60" t="s">
        <v>280</v>
      </c>
      <c r="D125" s="60" t="s">
        <v>284</v>
      </c>
      <c r="E125" s="60">
        <v>1</v>
      </c>
      <c r="F125" s="87"/>
    </row>
    <row r="126" spans="1:6">
      <c r="A126" s="62">
        <v>45602</v>
      </c>
      <c r="B126" s="60" t="s">
        <v>152</v>
      </c>
      <c r="C126" s="60" t="s">
        <v>285</v>
      </c>
      <c r="D126" s="60" t="s">
        <v>282</v>
      </c>
      <c r="E126" s="60">
        <v>2</v>
      </c>
      <c r="F126" s="87"/>
    </row>
    <row r="127" spans="1:6">
      <c r="A127" s="62">
        <v>45610</v>
      </c>
      <c r="B127" s="60" t="s">
        <v>222</v>
      </c>
      <c r="C127" s="60" t="s">
        <v>286</v>
      </c>
      <c r="D127" s="60" t="s">
        <v>274</v>
      </c>
      <c r="E127" s="60">
        <v>2</v>
      </c>
      <c r="F127" s="87"/>
    </row>
    <row r="128" spans="1:6">
      <c r="A128" s="62">
        <v>45610</v>
      </c>
      <c r="B128" s="60" t="s">
        <v>222</v>
      </c>
      <c r="C128" s="60" t="s">
        <v>286</v>
      </c>
      <c r="D128" s="60" t="s">
        <v>277</v>
      </c>
      <c r="E128" s="60">
        <v>2</v>
      </c>
      <c r="F128" s="87"/>
    </row>
    <row r="129" spans="1:6">
      <c r="A129" s="62">
        <v>45610</v>
      </c>
      <c r="B129" s="60" t="s">
        <v>222</v>
      </c>
      <c r="C129" s="60" t="s">
        <v>286</v>
      </c>
      <c r="D129" s="60" t="s">
        <v>287</v>
      </c>
      <c r="E129" s="60">
        <v>4</v>
      </c>
      <c r="F129" s="87"/>
    </row>
    <row r="130" spans="1:6">
      <c r="A130" s="62">
        <v>45610</v>
      </c>
      <c r="B130" s="60" t="s">
        <v>222</v>
      </c>
      <c r="C130" s="60" t="s">
        <v>286</v>
      </c>
      <c r="D130" s="60" t="s">
        <v>157</v>
      </c>
      <c r="E130" s="60">
        <v>1</v>
      </c>
      <c r="F130" s="87"/>
    </row>
    <row r="131" spans="1:6">
      <c r="A131" s="62">
        <v>45615</v>
      </c>
      <c r="B131" s="60" t="s">
        <v>163</v>
      </c>
      <c r="C131" s="60" t="s">
        <v>288</v>
      </c>
      <c r="D131" s="60" t="s">
        <v>131</v>
      </c>
      <c r="E131" s="60">
        <v>2</v>
      </c>
      <c r="F131" s="87"/>
    </row>
    <row r="132" spans="1:6">
      <c r="A132" s="62">
        <v>45623</v>
      </c>
      <c r="B132" s="60" t="s">
        <v>222</v>
      </c>
      <c r="C132" s="60" t="s">
        <v>289</v>
      </c>
      <c r="D132" s="60" t="s">
        <v>52</v>
      </c>
      <c r="E132" s="60">
        <v>3</v>
      </c>
      <c r="F132" s="87"/>
    </row>
    <row r="133" spans="1:6">
      <c r="A133" s="62">
        <v>45623</v>
      </c>
      <c r="B133" s="60" t="s">
        <v>163</v>
      </c>
      <c r="C133" s="60" t="s">
        <v>290</v>
      </c>
      <c r="D133" s="60" t="s">
        <v>291</v>
      </c>
      <c r="E133" s="60">
        <v>12</v>
      </c>
      <c r="F133" s="87"/>
    </row>
    <row r="134" spans="1:6">
      <c r="A134" s="62">
        <v>45623</v>
      </c>
      <c r="B134" s="60" t="s">
        <v>163</v>
      </c>
      <c r="C134" s="60" t="s">
        <v>290</v>
      </c>
      <c r="D134" s="60" t="s">
        <v>292</v>
      </c>
      <c r="E134" s="60">
        <v>21</v>
      </c>
      <c r="F134" s="87"/>
    </row>
    <row r="135" spans="1:6">
      <c r="A135" s="62">
        <v>45626</v>
      </c>
      <c r="B135" s="60" t="s">
        <v>222</v>
      </c>
      <c r="C135" s="60" t="s">
        <v>289</v>
      </c>
      <c r="D135" s="60" t="s">
        <v>216</v>
      </c>
      <c r="E135" s="60">
        <v>1</v>
      </c>
      <c r="F135" s="87"/>
    </row>
    <row r="136" spans="1:6">
      <c r="A136" s="62">
        <v>45626</v>
      </c>
      <c r="B136" s="60" t="s">
        <v>222</v>
      </c>
      <c r="C136" s="60" t="s">
        <v>289</v>
      </c>
      <c r="D136" s="20" t="s">
        <v>48</v>
      </c>
      <c r="E136" s="60">
        <v>1</v>
      </c>
      <c r="F136" s="87"/>
    </row>
    <row r="137" spans="1:6">
      <c r="A137" s="62">
        <v>45626</v>
      </c>
      <c r="B137" s="60" t="s">
        <v>222</v>
      </c>
      <c r="C137" s="60" t="s">
        <v>289</v>
      </c>
      <c r="D137" s="60" t="s">
        <v>293</v>
      </c>
      <c r="E137" s="60">
        <v>14</v>
      </c>
      <c r="F137" s="87"/>
    </row>
    <row r="138" spans="1:6">
      <c r="A138" s="62">
        <v>45629</v>
      </c>
      <c r="B138" s="60" t="s">
        <v>222</v>
      </c>
      <c r="C138" s="60" t="s">
        <v>294</v>
      </c>
      <c r="D138" s="60" t="s">
        <v>291</v>
      </c>
      <c r="E138" s="60">
        <v>2</v>
      </c>
      <c r="F138" s="87"/>
    </row>
    <row r="139" spans="1:6">
      <c r="A139" s="62">
        <v>45629</v>
      </c>
      <c r="B139" s="60" t="s">
        <v>222</v>
      </c>
      <c r="C139" s="60" t="s">
        <v>294</v>
      </c>
      <c r="D139" s="60" t="s">
        <v>52</v>
      </c>
      <c r="E139" s="60">
        <v>1</v>
      </c>
      <c r="F139" s="87"/>
    </row>
    <row r="140" spans="1:6">
      <c r="A140" s="62">
        <v>45629</v>
      </c>
      <c r="B140" s="60" t="s">
        <v>222</v>
      </c>
      <c r="C140" s="60" t="s">
        <v>294</v>
      </c>
      <c r="D140" s="60" t="s">
        <v>47</v>
      </c>
      <c r="E140" s="60">
        <v>1</v>
      </c>
      <c r="F140" s="87"/>
    </row>
    <row r="141" spans="1:6">
      <c r="A141" s="62">
        <v>45632</v>
      </c>
      <c r="B141" s="60" t="s">
        <v>222</v>
      </c>
      <c r="C141" s="60" t="s">
        <v>295</v>
      </c>
      <c r="D141" s="60" t="s">
        <v>272</v>
      </c>
      <c r="E141" s="60">
        <v>2</v>
      </c>
      <c r="F141" s="87"/>
    </row>
    <row r="142" spans="1:6">
      <c r="A142" s="62">
        <v>45632</v>
      </c>
      <c r="B142" s="60" t="s">
        <v>222</v>
      </c>
      <c r="C142" s="60" t="s">
        <v>295</v>
      </c>
      <c r="D142" s="60" t="s">
        <v>283</v>
      </c>
      <c r="E142" s="60">
        <v>1</v>
      </c>
      <c r="F142" s="87"/>
    </row>
    <row r="143" spans="1:6">
      <c r="A143" s="62">
        <v>45632</v>
      </c>
      <c r="B143" s="60" t="s">
        <v>222</v>
      </c>
      <c r="C143" s="60" t="s">
        <v>295</v>
      </c>
      <c r="D143" s="60" t="s">
        <v>296</v>
      </c>
      <c r="E143" s="60">
        <v>1</v>
      </c>
      <c r="F143" s="90"/>
    </row>
    <row r="144" spans="1:6">
      <c r="A144" s="62">
        <v>45632</v>
      </c>
      <c r="B144" s="60" t="s">
        <v>222</v>
      </c>
      <c r="C144" s="60" t="s">
        <v>295</v>
      </c>
      <c r="D144" s="60" t="s">
        <v>287</v>
      </c>
      <c r="E144" s="60">
        <v>4</v>
      </c>
      <c r="F144" s="87"/>
    </row>
    <row r="145" spans="1:6">
      <c r="A145" s="62">
        <v>45635</v>
      </c>
      <c r="B145" s="60" t="s">
        <v>222</v>
      </c>
      <c r="C145" s="60" t="s">
        <v>275</v>
      </c>
      <c r="D145" s="60" t="s">
        <v>52</v>
      </c>
      <c r="E145" s="60">
        <v>1</v>
      </c>
      <c r="F145" s="87"/>
    </row>
    <row r="146" spans="1:6">
      <c r="A146" s="62">
        <v>45637</v>
      </c>
      <c r="B146" s="60" t="s">
        <v>297</v>
      </c>
      <c r="C146" s="60" t="s">
        <v>298</v>
      </c>
      <c r="D146" s="60" t="s">
        <v>131</v>
      </c>
      <c r="E146" s="60">
        <v>2</v>
      </c>
      <c r="F146" s="87"/>
    </row>
    <row r="147" spans="1:6">
      <c r="A147" s="62">
        <v>45637</v>
      </c>
      <c r="B147" s="60" t="s">
        <v>297</v>
      </c>
      <c r="C147" s="60" t="s">
        <v>298</v>
      </c>
      <c r="D147" s="60" t="s">
        <v>266</v>
      </c>
      <c r="E147" s="60">
        <v>1</v>
      </c>
      <c r="F147" s="87"/>
    </row>
    <row r="148" spans="1:6">
      <c r="A148" s="62">
        <v>45637</v>
      </c>
      <c r="B148" s="60" t="s">
        <v>297</v>
      </c>
      <c r="C148" s="60" t="s">
        <v>298</v>
      </c>
      <c r="D148" s="60" t="s">
        <v>128</v>
      </c>
      <c r="E148" s="60">
        <v>1</v>
      </c>
      <c r="F148" s="87"/>
    </row>
    <row r="149" spans="1:6">
      <c r="A149" s="62">
        <v>45637</v>
      </c>
      <c r="B149" s="60" t="s">
        <v>297</v>
      </c>
      <c r="C149" s="60" t="s">
        <v>298</v>
      </c>
      <c r="D149" s="60" t="s">
        <v>156</v>
      </c>
      <c r="E149" s="60">
        <v>4</v>
      </c>
      <c r="F149" s="87"/>
    </row>
    <row r="150" spans="1:6">
      <c r="A150" s="62">
        <v>45637</v>
      </c>
      <c r="B150" s="60" t="s">
        <v>297</v>
      </c>
      <c r="C150" s="60" t="s">
        <v>298</v>
      </c>
      <c r="D150" s="60" t="s">
        <v>216</v>
      </c>
      <c r="E150" s="60">
        <v>3</v>
      </c>
      <c r="F150" s="87"/>
    </row>
    <row r="151" spans="1:6">
      <c r="A151" s="62">
        <v>45637</v>
      </c>
      <c r="B151" s="60" t="s">
        <v>297</v>
      </c>
      <c r="C151" s="60" t="s">
        <v>298</v>
      </c>
      <c r="D151" s="60" t="s">
        <v>52</v>
      </c>
      <c r="E151" s="60">
        <v>3</v>
      </c>
      <c r="F151" s="87"/>
    </row>
    <row r="152" spans="1:6">
      <c r="A152" s="62">
        <v>45638</v>
      </c>
      <c r="B152" s="60" t="s">
        <v>299</v>
      </c>
      <c r="C152" s="60" t="s">
        <v>300</v>
      </c>
      <c r="D152" s="60" t="s">
        <v>156</v>
      </c>
      <c r="E152" s="60">
        <v>1</v>
      </c>
      <c r="F152" s="87"/>
    </row>
    <row r="153" spans="1:6">
      <c r="A153" s="62">
        <v>45638</v>
      </c>
      <c r="B153" s="60" t="s">
        <v>299</v>
      </c>
      <c r="C153" s="60" t="s">
        <v>300</v>
      </c>
      <c r="D153" s="60" t="s">
        <v>266</v>
      </c>
      <c r="E153" s="60">
        <v>1</v>
      </c>
      <c r="F153" s="87"/>
    </row>
    <row r="154" spans="1:6">
      <c r="A154" s="62">
        <v>45642</v>
      </c>
      <c r="B154" s="60" t="s">
        <v>301</v>
      </c>
      <c r="C154" s="60" t="s">
        <v>302</v>
      </c>
      <c r="D154" s="60" t="s">
        <v>266</v>
      </c>
      <c r="E154" s="60">
        <v>1</v>
      </c>
      <c r="F154" s="87"/>
    </row>
    <row r="155" spans="1:6">
      <c r="A155" s="62">
        <v>45642</v>
      </c>
      <c r="B155" s="60" t="s">
        <v>301</v>
      </c>
      <c r="C155" s="60" t="s">
        <v>302</v>
      </c>
      <c r="D155" s="60" t="s">
        <v>266</v>
      </c>
      <c r="E155" s="60">
        <v>1</v>
      </c>
      <c r="F155" s="87"/>
    </row>
    <row r="156" spans="1:6">
      <c r="A156" s="62">
        <v>45642</v>
      </c>
      <c r="B156" s="60" t="s">
        <v>301</v>
      </c>
      <c r="C156" s="60" t="s">
        <v>302</v>
      </c>
      <c r="D156" s="60" t="s">
        <v>156</v>
      </c>
      <c r="E156" s="60">
        <v>1</v>
      </c>
      <c r="F156" s="87"/>
    </row>
    <row r="157" spans="1:6">
      <c r="A157" s="62">
        <v>45643</v>
      </c>
      <c r="B157" s="60" t="s">
        <v>301</v>
      </c>
      <c r="C157" s="60" t="s">
        <v>303</v>
      </c>
      <c r="D157" s="60" t="s">
        <v>266</v>
      </c>
      <c r="E157" s="60">
        <v>4</v>
      </c>
      <c r="F157" s="87"/>
    </row>
    <row r="158" spans="1:6">
      <c r="A158" s="62">
        <v>45643</v>
      </c>
      <c r="B158" s="60" t="s">
        <v>301</v>
      </c>
      <c r="C158" s="60" t="s">
        <v>303</v>
      </c>
      <c r="D158" s="60" t="s">
        <v>156</v>
      </c>
      <c r="E158" s="60">
        <v>3</v>
      </c>
      <c r="F158" s="87"/>
    </row>
    <row r="159" spans="1:6">
      <c r="A159" s="62">
        <v>45643</v>
      </c>
      <c r="B159" s="60" t="s">
        <v>301</v>
      </c>
      <c r="C159" s="60" t="s">
        <v>303</v>
      </c>
      <c r="D159" s="60" t="s">
        <v>216</v>
      </c>
      <c r="E159" s="60">
        <v>1</v>
      </c>
      <c r="F159" s="87"/>
    </row>
    <row r="160" spans="1:6">
      <c r="A160" s="62">
        <v>45646</v>
      </c>
      <c r="B160" s="60" t="s">
        <v>301</v>
      </c>
      <c r="C160" s="60" t="s">
        <v>304</v>
      </c>
      <c r="D160" s="60" t="s">
        <v>305</v>
      </c>
      <c r="E160" s="60">
        <v>1</v>
      </c>
      <c r="F160" s="87"/>
    </row>
    <row r="161" spans="1:6">
      <c r="A161" s="62">
        <v>45646</v>
      </c>
      <c r="B161" s="60" t="s">
        <v>301</v>
      </c>
      <c r="C161" s="60" t="s">
        <v>304</v>
      </c>
      <c r="D161" s="60" t="s">
        <v>306</v>
      </c>
      <c r="E161" s="60">
        <v>2</v>
      </c>
      <c r="F161" s="87"/>
    </row>
    <row r="162" spans="1:6">
      <c r="A162" s="62">
        <v>45646</v>
      </c>
      <c r="B162" s="60" t="s">
        <v>301</v>
      </c>
      <c r="C162" s="60" t="s">
        <v>304</v>
      </c>
      <c r="D162" s="60" t="s">
        <v>307</v>
      </c>
      <c r="E162" s="60">
        <v>1</v>
      </c>
      <c r="F162" s="87"/>
    </row>
    <row r="163" spans="1:6">
      <c r="A163" s="62">
        <v>45646</v>
      </c>
      <c r="B163" s="60" t="s">
        <v>301</v>
      </c>
      <c r="C163" s="60" t="s">
        <v>304</v>
      </c>
      <c r="D163" s="60" t="s">
        <v>308</v>
      </c>
      <c r="E163" s="60">
        <v>1</v>
      </c>
      <c r="F163" s="87"/>
    </row>
    <row r="164" spans="1:6">
      <c r="A164" s="62">
        <v>45646</v>
      </c>
      <c r="B164" s="60" t="s">
        <v>301</v>
      </c>
      <c r="C164" s="60" t="s">
        <v>304</v>
      </c>
      <c r="D164" s="60" t="s">
        <v>309</v>
      </c>
      <c r="E164" s="60">
        <v>2</v>
      </c>
      <c r="F164" s="87"/>
    </row>
    <row r="165" spans="1:6">
      <c r="A165" s="62">
        <v>45658</v>
      </c>
      <c r="B165" s="60" t="s">
        <v>222</v>
      </c>
      <c r="C165" s="60" t="s">
        <v>310</v>
      </c>
      <c r="D165" s="60" t="s">
        <v>292</v>
      </c>
      <c r="E165" s="60">
        <v>1</v>
      </c>
      <c r="F165" s="87"/>
    </row>
    <row r="166" spans="1:6">
      <c r="A166" s="62">
        <v>45658</v>
      </c>
      <c r="B166" s="60" t="s">
        <v>222</v>
      </c>
      <c r="C166" s="60" t="s">
        <v>310</v>
      </c>
      <c r="D166" s="60" t="s">
        <v>311</v>
      </c>
      <c r="E166" s="60">
        <v>1</v>
      </c>
      <c r="F166" s="87"/>
    </row>
    <row r="167" spans="1:6">
      <c r="A167" s="62">
        <v>45658</v>
      </c>
      <c r="B167" s="60" t="s">
        <v>222</v>
      </c>
      <c r="C167" s="60" t="s">
        <v>310</v>
      </c>
      <c r="D167" s="60" t="s">
        <v>312</v>
      </c>
      <c r="E167" s="60">
        <v>1</v>
      </c>
      <c r="F167" s="87"/>
    </row>
    <row r="168" spans="1:6">
      <c r="A168" s="62">
        <v>45660</v>
      </c>
      <c r="B168" s="60" t="s">
        <v>297</v>
      </c>
      <c r="C168" s="60" t="s">
        <v>313</v>
      </c>
      <c r="D168" s="60" t="s">
        <v>156</v>
      </c>
      <c r="E168" s="60">
        <v>1</v>
      </c>
      <c r="F168" s="87"/>
    </row>
    <row r="169" spans="1:6">
      <c r="A169" s="62">
        <v>45660</v>
      </c>
      <c r="B169" s="60" t="s">
        <v>297</v>
      </c>
      <c r="C169" s="60" t="s">
        <v>313</v>
      </c>
      <c r="D169" s="60" t="s">
        <v>307</v>
      </c>
      <c r="E169" s="60">
        <v>1</v>
      </c>
      <c r="F169" s="87"/>
    </row>
    <row r="170" spans="1:6">
      <c r="A170" s="62">
        <v>45660</v>
      </c>
      <c r="B170" s="88" t="s">
        <v>297</v>
      </c>
      <c r="C170" s="88" t="s">
        <v>313</v>
      </c>
      <c r="D170" s="88" t="s">
        <v>314</v>
      </c>
      <c r="E170" s="88">
        <v>1</v>
      </c>
      <c r="F170" s="87"/>
    </row>
    <row r="171" spans="1:6">
      <c r="A171" s="93">
        <v>45661</v>
      </c>
      <c r="B171" s="88" t="s">
        <v>301</v>
      </c>
      <c r="C171" s="88" t="s">
        <v>315</v>
      </c>
      <c r="D171" s="88" t="s">
        <v>88</v>
      </c>
      <c r="E171" s="88">
        <v>6</v>
      </c>
      <c r="F171" s="87"/>
    </row>
    <row r="172" spans="1:6">
      <c r="A172" s="93">
        <v>45667</v>
      </c>
      <c r="B172" s="60" t="s">
        <v>163</v>
      </c>
      <c r="C172" s="88" t="s">
        <v>316</v>
      </c>
      <c r="D172" s="60" t="s">
        <v>292</v>
      </c>
      <c r="E172" s="88">
        <v>2</v>
      </c>
      <c r="F172" s="87"/>
    </row>
    <row r="173" spans="1:6">
      <c r="A173" s="62">
        <v>45686</v>
      </c>
      <c r="B173" s="60" t="s">
        <v>163</v>
      </c>
      <c r="C173" s="63" t="s">
        <v>317</v>
      </c>
      <c r="D173" s="60" t="s">
        <v>318</v>
      </c>
      <c r="E173" s="60">
        <v>2</v>
      </c>
      <c r="F173" s="87"/>
    </row>
    <row r="174" spans="1:6">
      <c r="A174" s="89">
        <v>45686</v>
      </c>
      <c r="B174" s="88" t="s">
        <v>163</v>
      </c>
      <c r="C174" s="94" t="s">
        <v>317</v>
      </c>
      <c r="D174" s="88" t="s">
        <v>314</v>
      </c>
      <c r="E174" s="88">
        <v>1</v>
      </c>
      <c r="F174" s="87"/>
    </row>
    <row r="175" spans="1:6">
      <c r="A175" s="89">
        <v>45689</v>
      </c>
      <c r="B175" s="60" t="s">
        <v>222</v>
      </c>
      <c r="C175" s="94" t="s">
        <v>319</v>
      </c>
      <c r="D175" s="60" t="s">
        <v>311</v>
      </c>
      <c r="E175" s="88">
        <v>1</v>
      </c>
      <c r="F175" s="87"/>
    </row>
    <row r="176" spans="1:6">
      <c r="A176" s="89">
        <v>45689</v>
      </c>
      <c r="B176" s="60" t="s">
        <v>222</v>
      </c>
      <c r="C176" s="94" t="s">
        <v>319</v>
      </c>
      <c r="D176" s="60" t="s">
        <v>318</v>
      </c>
      <c r="E176" s="88">
        <v>1</v>
      </c>
      <c r="F176" s="87"/>
    </row>
    <row r="177" spans="1:6">
      <c r="A177" s="89">
        <v>45689</v>
      </c>
      <c r="B177" s="60" t="s">
        <v>222</v>
      </c>
      <c r="C177" s="94" t="s">
        <v>319</v>
      </c>
      <c r="D177" s="60" t="s">
        <v>312</v>
      </c>
      <c r="E177" s="88">
        <v>1</v>
      </c>
      <c r="F177" s="87"/>
    </row>
    <row r="178" spans="1:6">
      <c r="A178" s="62">
        <v>45690</v>
      </c>
      <c r="B178" s="60" t="s">
        <v>222</v>
      </c>
      <c r="C178" s="60" t="s">
        <v>320</v>
      </c>
      <c r="D178" s="60" t="s">
        <v>312</v>
      </c>
      <c r="E178" s="60">
        <v>2</v>
      </c>
      <c r="F178" s="87"/>
    </row>
    <row r="179" spans="1:6">
      <c r="A179" s="62">
        <v>45698</v>
      </c>
      <c r="B179" s="60" t="s">
        <v>163</v>
      </c>
      <c r="C179" s="60" t="s">
        <v>321</v>
      </c>
      <c r="D179" s="60" t="s">
        <v>312</v>
      </c>
      <c r="E179" s="60">
        <v>1</v>
      </c>
      <c r="F179" s="87"/>
    </row>
    <row r="180" spans="1:6">
      <c r="A180" s="62">
        <v>45698</v>
      </c>
      <c r="B180" s="60" t="s">
        <v>163</v>
      </c>
      <c r="C180" s="60" t="s">
        <v>321</v>
      </c>
      <c r="D180" s="60" t="s">
        <v>56</v>
      </c>
      <c r="E180" s="60" t="s">
        <v>322</v>
      </c>
      <c r="F180" s="87"/>
    </row>
    <row r="181" spans="1:6">
      <c r="A181" s="62">
        <v>45698</v>
      </c>
      <c r="B181" s="60" t="s">
        <v>163</v>
      </c>
      <c r="C181" s="60" t="s">
        <v>321</v>
      </c>
      <c r="D181" s="60" t="s">
        <v>311</v>
      </c>
      <c r="E181" s="60">
        <v>6</v>
      </c>
      <c r="F181" s="87"/>
    </row>
    <row r="182" spans="1:6">
      <c r="A182" s="62">
        <v>45698</v>
      </c>
      <c r="B182" s="60" t="s">
        <v>163</v>
      </c>
      <c r="C182" s="60" t="s">
        <v>321</v>
      </c>
      <c r="D182" s="60" t="s">
        <v>292</v>
      </c>
      <c r="E182" s="60">
        <v>1</v>
      </c>
      <c r="F182" s="87"/>
    </row>
    <row r="183" spans="1:6">
      <c r="A183" s="62">
        <v>45698</v>
      </c>
      <c r="B183" s="60" t="s">
        <v>163</v>
      </c>
      <c r="C183" s="60" t="s">
        <v>321</v>
      </c>
      <c r="D183" s="88" t="s">
        <v>287</v>
      </c>
      <c r="E183" s="60">
        <v>2</v>
      </c>
      <c r="F183" s="87"/>
    </row>
    <row r="184" spans="1:6">
      <c r="A184" s="62">
        <v>45699</v>
      </c>
      <c r="B184" s="60" t="s">
        <v>222</v>
      </c>
      <c r="C184" s="60" t="s">
        <v>323</v>
      </c>
      <c r="D184" s="60" t="s">
        <v>324</v>
      </c>
      <c r="E184" s="106">
        <v>6</v>
      </c>
      <c r="F184" s="87"/>
    </row>
    <row r="185" spans="1:6">
      <c r="A185" s="107">
        <v>45705</v>
      </c>
      <c r="B185" s="60" t="s">
        <v>163</v>
      </c>
      <c r="C185" s="60" t="s">
        <v>325</v>
      </c>
      <c r="D185" s="60" t="s">
        <v>326</v>
      </c>
      <c r="E185" s="108">
        <v>6</v>
      </c>
      <c r="F185" s="87"/>
    </row>
    <row r="186" spans="1:6">
      <c r="A186" s="107">
        <v>45709</v>
      </c>
      <c r="B186" s="60" t="s">
        <v>222</v>
      </c>
      <c r="C186" s="88" t="s">
        <v>327</v>
      </c>
      <c r="D186" s="88" t="s">
        <v>328</v>
      </c>
      <c r="E186" s="1">
        <v>1</v>
      </c>
      <c r="F186" s="87"/>
    </row>
    <row r="187" spans="1:6">
      <c r="A187" s="107">
        <v>45709</v>
      </c>
      <c r="B187" s="60" t="s">
        <v>222</v>
      </c>
      <c r="C187" s="88" t="s">
        <v>329</v>
      </c>
      <c r="D187" s="88" t="s">
        <v>292</v>
      </c>
      <c r="E187" s="1">
        <v>1</v>
      </c>
      <c r="F187" s="87"/>
    </row>
    <row r="188" spans="1:6">
      <c r="A188" s="107">
        <v>45715</v>
      </c>
      <c r="B188" s="88" t="s">
        <v>163</v>
      </c>
      <c r="C188" s="88" t="s">
        <v>330</v>
      </c>
      <c r="D188" s="88" t="s">
        <v>318</v>
      </c>
      <c r="E188" s="1">
        <v>2</v>
      </c>
      <c r="F188" s="87"/>
    </row>
    <row r="189" spans="1:6">
      <c r="A189" s="61">
        <v>45734</v>
      </c>
      <c r="B189" s="60" t="s">
        <v>163</v>
      </c>
      <c r="C189" s="60" t="s">
        <v>331</v>
      </c>
      <c r="D189" s="112" t="s">
        <v>47</v>
      </c>
      <c r="E189" s="60">
        <v>1</v>
      </c>
      <c r="F189" s="87"/>
    </row>
    <row r="190" spans="1:6">
      <c r="A190" s="109">
        <v>45734</v>
      </c>
      <c r="B190" s="60" t="s">
        <v>332</v>
      </c>
      <c r="C190" s="63" t="s">
        <v>333</v>
      </c>
      <c r="D190" s="112" t="s">
        <v>307</v>
      </c>
      <c r="E190" s="60">
        <v>2</v>
      </c>
      <c r="F190" s="87"/>
    </row>
    <row r="191" spans="1:6">
      <c r="A191" s="93">
        <v>45734</v>
      </c>
      <c r="B191" s="60" t="s">
        <v>332</v>
      </c>
      <c r="C191" s="63" t="s">
        <v>333</v>
      </c>
      <c r="D191" s="112" t="s">
        <v>308</v>
      </c>
      <c r="E191" s="60">
        <v>1</v>
      </c>
      <c r="F191" s="87"/>
    </row>
    <row r="192" spans="1:6">
      <c r="A192" s="62">
        <v>45734</v>
      </c>
      <c r="B192" s="110" t="s">
        <v>332</v>
      </c>
      <c r="C192" s="111" t="s">
        <v>333</v>
      </c>
      <c r="D192" s="113" t="s">
        <v>314</v>
      </c>
      <c r="E192" s="88">
        <v>2</v>
      </c>
      <c r="F192" s="90"/>
    </row>
    <row r="193" spans="1:6">
      <c r="A193" s="89">
        <v>45735</v>
      </c>
      <c r="B193" s="114" t="s">
        <v>332</v>
      </c>
      <c r="C193" s="115" t="s">
        <v>333</v>
      </c>
      <c r="D193" s="88" t="s">
        <v>156</v>
      </c>
      <c r="E193" s="88">
        <v>2</v>
      </c>
      <c r="F193" s="90"/>
    </row>
    <row r="194" spans="1:6">
      <c r="A194" s="62">
        <v>45741</v>
      </c>
      <c r="B194" s="60" t="s">
        <v>334</v>
      </c>
      <c r="C194" s="63" t="s">
        <v>335</v>
      </c>
      <c r="D194" s="60" t="s">
        <v>336</v>
      </c>
      <c r="E194" s="60">
        <v>2</v>
      </c>
      <c r="F194" s="90"/>
    </row>
    <row r="195" spans="1:6">
      <c r="A195" s="62">
        <v>45741</v>
      </c>
      <c r="B195" s="60" t="s">
        <v>334</v>
      </c>
      <c r="C195" s="63" t="s">
        <v>335</v>
      </c>
      <c r="D195" s="60" t="s">
        <v>337</v>
      </c>
      <c r="E195" s="60">
        <v>2</v>
      </c>
      <c r="F195" s="90"/>
    </row>
    <row r="196" spans="1:6">
      <c r="A196" s="62">
        <v>45741</v>
      </c>
      <c r="B196" s="60" t="s">
        <v>334</v>
      </c>
      <c r="C196" s="63" t="s">
        <v>335</v>
      </c>
      <c r="D196" s="60" t="s">
        <v>338</v>
      </c>
      <c r="E196" s="60">
        <v>2</v>
      </c>
      <c r="F196" s="90"/>
    </row>
    <row r="197" spans="1:6">
      <c r="A197" s="62">
        <v>45741</v>
      </c>
      <c r="B197" s="60" t="s">
        <v>334</v>
      </c>
      <c r="C197" s="63" t="s">
        <v>335</v>
      </c>
      <c r="D197" s="60" t="s">
        <v>339</v>
      </c>
      <c r="E197" s="60">
        <v>2</v>
      </c>
      <c r="F197" s="90"/>
    </row>
    <row r="198" spans="1:6">
      <c r="A198" s="62">
        <v>45741</v>
      </c>
      <c r="B198" s="60" t="s">
        <v>334</v>
      </c>
      <c r="C198" s="63" t="s">
        <v>335</v>
      </c>
      <c r="D198" s="60" t="s">
        <v>340</v>
      </c>
      <c r="E198" s="60">
        <v>2</v>
      </c>
      <c r="F198" s="90"/>
    </row>
    <row r="199" spans="1:6">
      <c r="A199" s="89">
        <v>45741</v>
      </c>
      <c r="B199" s="60" t="s">
        <v>334</v>
      </c>
      <c r="C199" s="94" t="s">
        <v>335</v>
      </c>
      <c r="D199" s="88" t="s">
        <v>156</v>
      </c>
      <c r="E199" s="88">
        <v>6</v>
      </c>
      <c r="F199" s="90"/>
    </row>
    <row r="200" spans="1:6">
      <c r="A200" s="116">
        <v>45744</v>
      </c>
      <c r="B200" s="60" t="s">
        <v>334</v>
      </c>
      <c r="C200" s="64" t="s">
        <v>341</v>
      </c>
      <c r="D200" s="64" t="s">
        <v>328</v>
      </c>
      <c r="E200" s="64">
        <v>2</v>
      </c>
      <c r="F200" s="90"/>
    </row>
    <row r="201" spans="1:6">
      <c r="A201" s="116">
        <v>45744</v>
      </c>
      <c r="B201" s="60" t="s">
        <v>334</v>
      </c>
      <c r="C201" s="64" t="s">
        <v>341</v>
      </c>
      <c r="D201" s="64" t="s">
        <v>342</v>
      </c>
      <c r="E201" s="64">
        <v>1</v>
      </c>
      <c r="F201" s="90"/>
    </row>
    <row r="202" spans="1:6">
      <c r="A202" s="116">
        <v>45744</v>
      </c>
      <c r="B202" s="60" t="s">
        <v>334</v>
      </c>
      <c r="C202" s="64" t="s">
        <v>341</v>
      </c>
      <c r="D202" s="64" t="s">
        <v>318</v>
      </c>
      <c r="E202" s="64">
        <v>1</v>
      </c>
      <c r="F202" s="90"/>
    </row>
    <row r="203" spans="1:6">
      <c r="A203" s="116">
        <v>45744</v>
      </c>
      <c r="B203" s="60" t="s">
        <v>334</v>
      </c>
      <c r="C203" s="118" t="s">
        <v>341</v>
      </c>
      <c r="D203" s="119" t="s">
        <v>33</v>
      </c>
      <c r="E203" s="118">
        <v>1</v>
      </c>
      <c r="F203" s="90"/>
    </row>
    <row r="204" spans="1:6">
      <c r="A204" s="61">
        <v>45750</v>
      </c>
      <c r="B204" s="118" t="s">
        <v>343</v>
      </c>
      <c r="C204" s="88" t="s">
        <v>344</v>
      </c>
      <c r="D204" s="88" t="s">
        <v>345</v>
      </c>
      <c r="E204" s="88">
        <v>1</v>
      </c>
      <c r="F204" s="117"/>
    </row>
    <row r="205" spans="1:6">
      <c r="A205" s="62">
        <v>45750</v>
      </c>
      <c r="B205" s="118" t="s">
        <v>343</v>
      </c>
      <c r="C205" s="88" t="s">
        <v>346</v>
      </c>
      <c r="D205" s="60" t="s">
        <v>305</v>
      </c>
      <c r="E205" s="60">
        <v>1</v>
      </c>
      <c r="F205" s="87"/>
    </row>
    <row r="206" spans="1:6">
      <c r="A206" s="89">
        <v>45750</v>
      </c>
      <c r="B206" s="118" t="s">
        <v>343</v>
      </c>
      <c r="C206" s="88" t="s">
        <v>346</v>
      </c>
      <c r="D206" s="88" t="s">
        <v>156</v>
      </c>
      <c r="E206" s="88">
        <v>3</v>
      </c>
      <c r="F206" s="87"/>
    </row>
    <row r="207" spans="1:6">
      <c r="A207" s="62">
        <v>45750</v>
      </c>
      <c r="B207" s="64" t="s">
        <v>343</v>
      </c>
      <c r="C207" s="60" t="s">
        <v>346</v>
      </c>
      <c r="D207" s="60" t="s">
        <v>47</v>
      </c>
      <c r="E207" s="60">
        <v>1</v>
      </c>
      <c r="F207" s="87"/>
    </row>
    <row r="208" spans="1:6">
      <c r="A208" s="62">
        <v>45750</v>
      </c>
      <c r="B208" s="60" t="s">
        <v>163</v>
      </c>
      <c r="C208" s="60" t="s">
        <v>347</v>
      </c>
      <c r="D208" s="20" t="s">
        <v>33</v>
      </c>
      <c r="E208" s="60">
        <v>3</v>
      </c>
      <c r="F208" s="87"/>
    </row>
    <row r="209" spans="1:6">
      <c r="A209" s="89">
        <v>45751</v>
      </c>
      <c r="B209" s="88" t="s">
        <v>163</v>
      </c>
      <c r="C209" s="88" t="s">
        <v>347</v>
      </c>
      <c r="D209" s="118" t="s">
        <v>292</v>
      </c>
      <c r="E209" s="88">
        <v>2</v>
      </c>
      <c r="F209" s="87"/>
    </row>
    <row r="210" spans="1:6">
      <c r="A210" s="89">
        <v>45751</v>
      </c>
      <c r="B210" s="88" t="s">
        <v>163</v>
      </c>
      <c r="C210" s="88" t="s">
        <v>347</v>
      </c>
      <c r="D210" s="118" t="s">
        <v>318</v>
      </c>
      <c r="E210" s="88">
        <v>2</v>
      </c>
      <c r="F210" s="87"/>
    </row>
    <row r="211" spans="1:6">
      <c r="A211" s="89">
        <v>45751</v>
      </c>
      <c r="B211" s="60" t="s">
        <v>334</v>
      </c>
      <c r="C211" s="88" t="s">
        <v>348</v>
      </c>
      <c r="D211" s="139" t="s">
        <v>292</v>
      </c>
      <c r="E211" s="88">
        <v>1</v>
      </c>
      <c r="F211" s="87"/>
    </row>
    <row r="212" spans="1:6">
      <c r="A212" s="62">
        <v>45751</v>
      </c>
      <c r="B212" s="60" t="s">
        <v>334</v>
      </c>
      <c r="C212" s="88" t="s">
        <v>348</v>
      </c>
      <c r="D212" s="139" t="s">
        <v>311</v>
      </c>
      <c r="E212" s="88">
        <v>1</v>
      </c>
      <c r="F212" s="87"/>
    </row>
    <row r="213" spans="1:6">
      <c r="A213" s="109">
        <v>45752</v>
      </c>
      <c r="B213" s="60" t="s">
        <v>163</v>
      </c>
      <c r="C213" s="60" t="s">
        <v>349</v>
      </c>
      <c r="D213" s="141" t="s">
        <v>244</v>
      </c>
      <c r="E213" s="60">
        <v>10</v>
      </c>
      <c r="F213" s="87"/>
    </row>
    <row r="214" spans="1:6">
      <c r="A214" s="89">
        <v>45752</v>
      </c>
      <c r="B214" s="60" t="s">
        <v>334</v>
      </c>
      <c r="C214" s="88" t="s">
        <v>350</v>
      </c>
      <c r="D214" s="118" t="s">
        <v>311</v>
      </c>
      <c r="E214" s="88">
        <v>2</v>
      </c>
      <c r="F214" s="87"/>
    </row>
    <row r="215" spans="1:6">
      <c r="A215" s="62">
        <v>45754</v>
      </c>
      <c r="B215" s="60" t="s">
        <v>334</v>
      </c>
      <c r="C215" s="60" t="s">
        <v>351</v>
      </c>
      <c r="D215" s="60" t="s">
        <v>47</v>
      </c>
      <c r="E215" s="60">
        <v>1</v>
      </c>
      <c r="F215" s="87"/>
    </row>
    <row r="216" spans="1:6">
      <c r="A216" s="62">
        <v>45754</v>
      </c>
      <c r="B216" s="60" t="s">
        <v>163</v>
      </c>
      <c r="C216" s="60" t="s">
        <v>352</v>
      </c>
      <c r="D216" s="63" t="s">
        <v>244</v>
      </c>
      <c r="E216" s="60">
        <v>8</v>
      </c>
      <c r="F216" s="87"/>
    </row>
    <row r="217" spans="1:6">
      <c r="A217" s="62">
        <v>45761</v>
      </c>
      <c r="B217" s="60" t="s">
        <v>334</v>
      </c>
      <c r="C217" s="60" t="s">
        <v>89</v>
      </c>
      <c r="D217" s="60" t="s">
        <v>52</v>
      </c>
      <c r="E217" s="60">
        <v>1</v>
      </c>
      <c r="F217" s="87"/>
    </row>
    <row r="218" spans="1:6">
      <c r="A218" s="62">
        <v>45762</v>
      </c>
      <c r="B218" s="60" t="s">
        <v>334</v>
      </c>
      <c r="C218" s="60" t="s">
        <v>353</v>
      </c>
      <c r="D218" s="132" t="s">
        <v>354</v>
      </c>
      <c r="E218" s="60">
        <v>13</v>
      </c>
      <c r="F218" s="87"/>
    </row>
    <row r="219" spans="1:6">
      <c r="A219" s="62">
        <v>45762</v>
      </c>
      <c r="B219" s="60" t="s">
        <v>334</v>
      </c>
      <c r="C219" s="60" t="s">
        <v>353</v>
      </c>
      <c r="D219" s="132" t="s">
        <v>355</v>
      </c>
      <c r="E219" s="60">
        <v>11</v>
      </c>
      <c r="F219" s="87"/>
    </row>
    <row r="220" spans="1:6">
      <c r="A220" s="62">
        <v>45762</v>
      </c>
      <c r="B220" s="60" t="s">
        <v>334</v>
      </c>
      <c r="C220" s="60" t="s">
        <v>353</v>
      </c>
      <c r="D220" s="132" t="s">
        <v>356</v>
      </c>
      <c r="E220" s="60">
        <v>5</v>
      </c>
      <c r="F220" s="87"/>
    </row>
    <row r="221" spans="1:6">
      <c r="A221" s="62">
        <v>45762</v>
      </c>
      <c r="B221" s="60" t="s">
        <v>334</v>
      </c>
      <c r="C221" s="60" t="s">
        <v>353</v>
      </c>
      <c r="D221" s="132" t="s">
        <v>357</v>
      </c>
      <c r="E221" s="60">
        <v>11</v>
      </c>
      <c r="F221" s="87"/>
    </row>
    <row r="222" spans="1:6">
      <c r="A222" s="62">
        <v>45762</v>
      </c>
      <c r="B222" s="60" t="s">
        <v>334</v>
      </c>
      <c r="C222" s="60" t="s">
        <v>353</v>
      </c>
      <c r="D222" s="132" t="s">
        <v>358</v>
      </c>
      <c r="E222" s="60">
        <v>5</v>
      </c>
      <c r="F222" s="87"/>
    </row>
    <row r="223" spans="1:6">
      <c r="A223" s="62">
        <v>45762</v>
      </c>
      <c r="B223" s="60" t="s">
        <v>334</v>
      </c>
      <c r="C223" s="60" t="s">
        <v>353</v>
      </c>
      <c r="D223" s="132" t="s">
        <v>359</v>
      </c>
      <c r="E223" s="60">
        <v>10</v>
      </c>
      <c r="F223" s="87"/>
    </row>
    <row r="224" spans="1:6">
      <c r="A224" s="62">
        <v>45762</v>
      </c>
      <c r="B224" s="60" t="s">
        <v>334</v>
      </c>
      <c r="C224" s="1" t="s">
        <v>353</v>
      </c>
      <c r="D224" s="133" t="s">
        <v>360</v>
      </c>
      <c r="E224" s="1">
        <v>5</v>
      </c>
      <c r="F224" s="87"/>
    </row>
    <row r="225" spans="1:6">
      <c r="A225" s="109">
        <v>45764</v>
      </c>
      <c r="B225" s="60" t="s">
        <v>334</v>
      </c>
      <c r="C225" s="60" t="s">
        <v>361</v>
      </c>
      <c r="D225" s="132" t="s">
        <v>362</v>
      </c>
      <c r="E225" s="60">
        <v>4</v>
      </c>
      <c r="F225" s="87"/>
    </row>
    <row r="226" spans="1:6">
      <c r="A226" s="109">
        <v>45764</v>
      </c>
      <c r="B226" s="60" t="s">
        <v>334</v>
      </c>
      <c r="C226" s="60" t="s">
        <v>363</v>
      </c>
      <c r="D226" s="132" t="s">
        <v>364</v>
      </c>
      <c r="E226" s="88">
        <v>1</v>
      </c>
      <c r="F226" s="87"/>
    </row>
    <row r="227" spans="1:6">
      <c r="A227" s="109">
        <v>45764</v>
      </c>
      <c r="B227" s="60" t="s">
        <v>334</v>
      </c>
      <c r="C227" s="60" t="s">
        <v>363</v>
      </c>
      <c r="D227" s="136" t="s">
        <v>365</v>
      </c>
      <c r="E227" s="60">
        <v>1</v>
      </c>
      <c r="F227" s="87"/>
    </row>
    <row r="228" spans="1:6">
      <c r="A228" s="109">
        <v>45764</v>
      </c>
      <c r="B228" s="60" t="s">
        <v>334</v>
      </c>
      <c r="C228" s="60" t="s">
        <v>363</v>
      </c>
      <c r="D228" s="136" t="s">
        <v>359</v>
      </c>
      <c r="E228" s="60">
        <v>1</v>
      </c>
      <c r="F228" s="87"/>
    </row>
    <row r="229" spans="1:6">
      <c r="A229" s="93">
        <v>45764</v>
      </c>
      <c r="B229" s="60" t="s">
        <v>334</v>
      </c>
      <c r="C229" s="88" t="s">
        <v>363</v>
      </c>
      <c r="D229" s="122" t="s">
        <v>156</v>
      </c>
      <c r="E229" s="60">
        <v>1</v>
      </c>
      <c r="F229" s="87"/>
    </row>
    <row r="230" spans="1:6">
      <c r="A230" s="62">
        <v>45765</v>
      </c>
      <c r="B230" s="60" t="s">
        <v>366</v>
      </c>
      <c r="C230" s="88" t="s">
        <v>367</v>
      </c>
      <c r="D230" s="136" t="s">
        <v>368</v>
      </c>
      <c r="E230" s="60">
        <v>1</v>
      </c>
      <c r="F230" s="87"/>
    </row>
    <row r="231" spans="1:6">
      <c r="A231" s="62">
        <v>45765</v>
      </c>
      <c r="B231" s="112" t="s">
        <v>366</v>
      </c>
      <c r="C231" s="88" t="s">
        <v>367</v>
      </c>
      <c r="D231" s="140" t="s">
        <v>365</v>
      </c>
      <c r="E231" s="110">
        <v>1</v>
      </c>
      <c r="F231" s="87"/>
    </row>
    <row r="232" spans="1:6">
      <c r="A232" s="89">
        <v>45769</v>
      </c>
      <c r="B232" s="60" t="s">
        <v>334</v>
      </c>
      <c r="C232" s="60" t="s">
        <v>369</v>
      </c>
      <c r="D232" s="135" t="s">
        <v>292</v>
      </c>
      <c r="E232" s="88">
        <v>1</v>
      </c>
      <c r="F232" s="87"/>
    </row>
    <row r="233" spans="1:6">
      <c r="A233" s="89">
        <v>45772</v>
      </c>
      <c r="B233" s="60" t="s">
        <v>334</v>
      </c>
      <c r="C233" s="60" t="s">
        <v>370</v>
      </c>
      <c r="D233" s="135" t="s">
        <v>328</v>
      </c>
      <c r="E233" s="88">
        <v>1</v>
      </c>
      <c r="F233" s="87"/>
    </row>
    <row r="234" spans="1:6">
      <c r="A234" s="89">
        <v>45772</v>
      </c>
      <c r="B234" s="60" t="s">
        <v>334</v>
      </c>
      <c r="C234" s="88" t="s">
        <v>370</v>
      </c>
      <c r="D234" s="142" t="s">
        <v>311</v>
      </c>
      <c r="E234" s="88">
        <v>1</v>
      </c>
      <c r="F234" s="87"/>
    </row>
    <row r="235" spans="1:6">
      <c r="A235" s="89">
        <v>45773</v>
      </c>
      <c r="B235" s="60" t="s">
        <v>334</v>
      </c>
      <c r="C235" s="138" t="s">
        <v>371</v>
      </c>
      <c r="D235" s="118" t="s">
        <v>88</v>
      </c>
      <c r="E235" s="88">
        <v>1</v>
      </c>
      <c r="F235" s="90"/>
    </row>
    <row r="236" spans="1:6">
      <c r="A236" s="89">
        <v>45775</v>
      </c>
      <c r="B236" s="60" t="s">
        <v>334</v>
      </c>
      <c r="C236" s="88" t="s">
        <v>372</v>
      </c>
      <c r="D236" s="133" t="s">
        <v>365</v>
      </c>
      <c r="E236" s="88">
        <v>1</v>
      </c>
      <c r="F236" s="137"/>
    </row>
    <row r="237" spans="1:6">
      <c r="A237" s="62">
        <v>45776</v>
      </c>
      <c r="B237" s="60" t="s">
        <v>163</v>
      </c>
      <c r="C237" s="60" t="s">
        <v>373</v>
      </c>
      <c r="D237" s="64" t="s">
        <v>311</v>
      </c>
      <c r="E237" s="60">
        <v>1</v>
      </c>
      <c r="F237" s="117"/>
    </row>
    <row r="238" spans="1:6">
      <c r="A238" s="89">
        <v>45776</v>
      </c>
      <c r="B238" s="60" t="s">
        <v>334</v>
      </c>
      <c r="C238" s="88" t="s">
        <v>374</v>
      </c>
      <c r="D238" s="118" t="s">
        <v>375</v>
      </c>
      <c r="E238" s="88">
        <v>1</v>
      </c>
      <c r="F238" s="137"/>
    </row>
    <row r="239" spans="1:6">
      <c r="A239" s="89">
        <v>45777</v>
      </c>
      <c r="B239" s="60" t="s">
        <v>334</v>
      </c>
      <c r="C239" s="88" t="s">
        <v>376</v>
      </c>
      <c r="D239" s="118" t="s">
        <v>292</v>
      </c>
      <c r="E239" s="88">
        <v>1</v>
      </c>
      <c r="F239" s="117"/>
    </row>
    <row r="240" spans="1:6">
      <c r="A240" s="89">
        <v>45777</v>
      </c>
      <c r="B240" s="60" t="s">
        <v>334</v>
      </c>
      <c r="C240" s="88" t="s">
        <v>376</v>
      </c>
      <c r="D240" s="118" t="s">
        <v>292</v>
      </c>
      <c r="E240" s="88">
        <v>1</v>
      </c>
      <c r="F240" s="117"/>
    </row>
    <row r="241" spans="1:6">
      <c r="A241" s="62">
        <v>45777</v>
      </c>
      <c r="B241" s="60" t="s">
        <v>334</v>
      </c>
      <c r="C241" s="60" t="s">
        <v>377</v>
      </c>
      <c r="D241" s="64" t="s">
        <v>328</v>
      </c>
      <c r="E241" s="60">
        <v>1</v>
      </c>
      <c r="F241" s="87"/>
    </row>
    <row r="242" spans="1:6">
      <c r="A242" s="89">
        <v>45786</v>
      </c>
      <c r="B242" s="60" t="s">
        <v>334</v>
      </c>
      <c r="C242" s="88" t="s">
        <v>378</v>
      </c>
      <c r="D242" s="118" t="s">
        <v>292</v>
      </c>
      <c r="E242" s="88">
        <v>2</v>
      </c>
      <c r="F242" s="87"/>
    </row>
    <row r="243" spans="1:6">
      <c r="A243" s="89">
        <v>45793</v>
      </c>
      <c r="B243" s="88" t="s">
        <v>379</v>
      </c>
      <c r="C243" s="94" t="s">
        <v>380</v>
      </c>
      <c r="D243" s="88" t="s">
        <v>381</v>
      </c>
      <c r="E243" s="88">
        <v>4</v>
      </c>
      <c r="F243" s="87"/>
    </row>
    <row r="244" spans="1:6">
      <c r="A244" s="143">
        <v>45797</v>
      </c>
      <c r="B244" s="60" t="s">
        <v>334</v>
      </c>
      <c r="C244" s="94" t="s">
        <v>382</v>
      </c>
      <c r="D244" s="118" t="s">
        <v>292</v>
      </c>
      <c r="E244" s="88">
        <v>2</v>
      </c>
      <c r="F244" s="87"/>
    </row>
    <row r="245" spans="1:6">
      <c r="A245" s="143">
        <v>45798</v>
      </c>
      <c r="B245" s="63" t="s">
        <v>163</v>
      </c>
      <c r="C245" s="63" t="s">
        <v>200</v>
      </c>
      <c r="D245" s="63" t="s">
        <v>383</v>
      </c>
      <c r="E245" s="63">
        <v>4</v>
      </c>
      <c r="F245" s="87"/>
    </row>
    <row r="246" spans="1:6">
      <c r="A246" s="89">
        <v>45799</v>
      </c>
      <c r="B246" s="88" t="s">
        <v>163</v>
      </c>
      <c r="C246" s="88" t="s">
        <v>384</v>
      </c>
      <c r="D246" s="118" t="s">
        <v>318</v>
      </c>
      <c r="E246" s="88">
        <v>2</v>
      </c>
      <c r="F246" s="87"/>
    </row>
    <row r="247" spans="1:6">
      <c r="A247" s="62">
        <v>45799</v>
      </c>
      <c r="B247" s="60" t="s">
        <v>334</v>
      </c>
      <c r="C247" s="60" t="s">
        <v>385</v>
      </c>
      <c r="D247" s="60" t="s">
        <v>386</v>
      </c>
      <c r="E247" s="60">
        <v>5</v>
      </c>
      <c r="F247" s="87"/>
    </row>
    <row r="248" spans="1:6">
      <c r="A248" s="89">
        <v>45799</v>
      </c>
      <c r="B248" s="60" t="s">
        <v>334</v>
      </c>
      <c r="C248" s="88" t="s">
        <v>385</v>
      </c>
      <c r="D248" s="88" t="s">
        <v>47</v>
      </c>
      <c r="E248" s="88">
        <v>1</v>
      </c>
      <c r="F248" s="87"/>
    </row>
    <row r="249" spans="1:6">
      <c r="A249" s="62">
        <v>45804</v>
      </c>
      <c r="B249" s="60" t="s">
        <v>163</v>
      </c>
      <c r="C249" s="60" t="s">
        <v>387</v>
      </c>
      <c r="D249" s="60" t="s">
        <v>354</v>
      </c>
      <c r="E249" s="60">
        <v>4</v>
      </c>
      <c r="F249" s="87"/>
    </row>
    <row r="250" spans="1:6">
      <c r="A250" s="89">
        <v>45804</v>
      </c>
      <c r="B250" s="60" t="s">
        <v>334</v>
      </c>
      <c r="C250" s="89" t="s">
        <v>388</v>
      </c>
      <c r="D250" s="89" t="s">
        <v>52</v>
      </c>
      <c r="E250" s="60">
        <v>1</v>
      </c>
      <c r="F250" s="87"/>
    </row>
    <row r="251" spans="1:6">
      <c r="A251" s="89">
        <v>45804</v>
      </c>
      <c r="B251" s="60" t="s">
        <v>334</v>
      </c>
      <c r="C251" s="89" t="s">
        <v>388</v>
      </c>
      <c r="D251" s="89" t="s">
        <v>389</v>
      </c>
      <c r="E251" s="60">
        <v>1</v>
      </c>
      <c r="F251" s="87"/>
    </row>
    <row r="252" spans="1:6">
      <c r="A252" s="89">
        <v>45804</v>
      </c>
      <c r="B252" s="60" t="s">
        <v>334</v>
      </c>
      <c r="C252" s="89" t="s">
        <v>388</v>
      </c>
      <c r="D252" s="89" t="s">
        <v>390</v>
      </c>
      <c r="E252" s="60">
        <v>1</v>
      </c>
      <c r="F252" s="87"/>
    </row>
    <row r="253" spans="1:6">
      <c r="A253" s="89">
        <v>45804</v>
      </c>
      <c r="B253" s="60" t="s">
        <v>334</v>
      </c>
      <c r="C253" s="89" t="s">
        <v>388</v>
      </c>
      <c r="D253" s="89" t="s">
        <v>292</v>
      </c>
      <c r="E253" s="60">
        <v>1</v>
      </c>
      <c r="F253" s="87"/>
    </row>
    <row r="254" spans="1:6">
      <c r="A254" s="89">
        <v>45804</v>
      </c>
      <c r="B254" s="60" t="s">
        <v>334</v>
      </c>
      <c r="C254" s="89" t="s">
        <v>388</v>
      </c>
      <c r="D254" s="89" t="s">
        <v>33</v>
      </c>
      <c r="E254" s="88">
        <v>1</v>
      </c>
      <c r="F254" s="87"/>
    </row>
    <row r="255" spans="1:6">
      <c r="A255" s="89">
        <v>45804</v>
      </c>
      <c r="B255" s="60" t="s">
        <v>334</v>
      </c>
      <c r="C255" s="89" t="s">
        <v>391</v>
      </c>
      <c r="D255" s="133" t="s">
        <v>392</v>
      </c>
      <c r="E255" s="88">
        <v>1</v>
      </c>
      <c r="F255" s="87"/>
    </row>
    <row r="256" spans="1:6" s="145" customFormat="1">
      <c r="A256" s="144">
        <v>45805</v>
      </c>
      <c r="B256" s="60" t="s">
        <v>334</v>
      </c>
      <c r="C256" s="116" t="s">
        <v>393</v>
      </c>
      <c r="D256" s="116" t="s">
        <v>134</v>
      </c>
      <c r="E256" s="142">
        <v>8</v>
      </c>
      <c r="F256" s="87"/>
    </row>
    <row r="257" spans="1:6">
      <c r="A257" s="93">
        <v>45805</v>
      </c>
      <c r="B257" s="60" t="s">
        <v>334</v>
      </c>
      <c r="C257" s="89" t="s">
        <v>393</v>
      </c>
      <c r="D257" s="93" t="s">
        <v>133</v>
      </c>
      <c r="E257" s="88">
        <v>4</v>
      </c>
      <c r="F257" s="87"/>
    </row>
    <row r="258" spans="1:6">
      <c r="A258" s="62">
        <v>45806</v>
      </c>
      <c r="B258" s="60" t="s">
        <v>334</v>
      </c>
      <c r="C258" s="60" t="s">
        <v>394</v>
      </c>
      <c r="D258" s="60" t="s">
        <v>395</v>
      </c>
      <c r="E258" s="60">
        <v>2</v>
      </c>
      <c r="F258" s="87"/>
    </row>
    <row r="259" spans="1:6">
      <c r="A259" s="62">
        <v>45806</v>
      </c>
      <c r="B259" s="60" t="s">
        <v>334</v>
      </c>
      <c r="C259" s="60" t="s">
        <v>396</v>
      </c>
      <c r="D259" s="60" t="s">
        <v>328</v>
      </c>
      <c r="E259" s="60">
        <v>6</v>
      </c>
      <c r="F259" s="87"/>
    </row>
    <row r="260" spans="1:6">
      <c r="A260" s="62">
        <v>45806</v>
      </c>
      <c r="B260" s="60" t="s">
        <v>334</v>
      </c>
      <c r="C260" s="63" t="s">
        <v>393</v>
      </c>
      <c r="D260" s="60" t="s">
        <v>336</v>
      </c>
      <c r="E260" s="60">
        <v>2</v>
      </c>
      <c r="F260" s="87"/>
    </row>
    <row r="261" spans="1:6">
      <c r="A261" s="62">
        <v>45806</v>
      </c>
      <c r="B261" s="60" t="s">
        <v>334</v>
      </c>
      <c r="C261" s="63" t="s">
        <v>393</v>
      </c>
      <c r="D261" s="60" t="s">
        <v>337</v>
      </c>
      <c r="E261" s="60">
        <v>4</v>
      </c>
      <c r="F261" s="87"/>
    </row>
    <row r="262" spans="1:6">
      <c r="A262" s="62">
        <v>45806</v>
      </c>
      <c r="B262" s="60" t="s">
        <v>334</v>
      </c>
      <c r="C262" s="63" t="s">
        <v>393</v>
      </c>
      <c r="D262" s="60" t="s">
        <v>339</v>
      </c>
      <c r="E262" s="60">
        <v>2</v>
      </c>
      <c r="F262" s="87"/>
    </row>
    <row r="263" spans="1:6">
      <c r="A263" s="62">
        <v>45806</v>
      </c>
      <c r="B263" s="60" t="s">
        <v>334</v>
      </c>
      <c r="C263" s="63" t="s">
        <v>393</v>
      </c>
      <c r="D263" s="60" t="s">
        <v>340</v>
      </c>
      <c r="E263" s="60">
        <v>2</v>
      </c>
      <c r="F263" s="87"/>
    </row>
    <row r="264" spans="1:6">
      <c r="A264" s="62">
        <v>45806</v>
      </c>
      <c r="B264" s="60" t="s">
        <v>334</v>
      </c>
      <c r="C264" s="94" t="s">
        <v>393</v>
      </c>
      <c r="D264" s="89" t="s">
        <v>156</v>
      </c>
      <c r="E264" s="88">
        <v>6</v>
      </c>
      <c r="F264" s="87"/>
    </row>
    <row r="265" spans="1:6">
      <c r="A265" s="62">
        <v>45807</v>
      </c>
      <c r="B265" s="60" t="s">
        <v>334</v>
      </c>
      <c r="C265" s="63" t="s">
        <v>397</v>
      </c>
      <c r="D265" s="136" t="s">
        <v>365</v>
      </c>
      <c r="E265" s="60">
        <v>1</v>
      </c>
      <c r="F265" s="87"/>
    </row>
    <row r="266" spans="1:6">
      <c r="A266" s="62">
        <v>45810</v>
      </c>
      <c r="B266" s="60" t="s">
        <v>334</v>
      </c>
      <c r="C266" s="60" t="s">
        <v>398</v>
      </c>
      <c r="D266" s="60" t="s">
        <v>52</v>
      </c>
      <c r="E266" s="60">
        <v>1</v>
      </c>
      <c r="F266" s="87"/>
    </row>
    <row r="267" spans="1:6">
      <c r="A267" s="62">
        <v>45811</v>
      </c>
      <c r="B267" s="60" t="s">
        <v>334</v>
      </c>
      <c r="C267" s="60" t="s">
        <v>399</v>
      </c>
      <c r="D267" s="62" t="s">
        <v>390</v>
      </c>
      <c r="E267" s="60">
        <v>1</v>
      </c>
      <c r="F267" s="87"/>
    </row>
    <row r="268" spans="1:6">
      <c r="A268" s="62">
        <v>45811</v>
      </c>
      <c r="B268" s="60" t="s">
        <v>334</v>
      </c>
      <c r="C268" s="60" t="s">
        <v>400</v>
      </c>
      <c r="D268" s="62" t="s">
        <v>401</v>
      </c>
      <c r="E268" s="60">
        <v>4</v>
      </c>
      <c r="F268" s="87"/>
    </row>
    <row r="269" spans="1:6">
      <c r="A269" s="62">
        <v>45811</v>
      </c>
      <c r="B269" s="60" t="s">
        <v>334</v>
      </c>
      <c r="C269" s="88" t="s">
        <v>400</v>
      </c>
      <c r="D269" s="88" t="s">
        <v>392</v>
      </c>
      <c r="E269" s="88">
        <v>4</v>
      </c>
      <c r="F269" s="87"/>
    </row>
    <row r="270" spans="1:6">
      <c r="A270" s="109">
        <v>45811</v>
      </c>
      <c r="B270" s="60" t="s">
        <v>334</v>
      </c>
      <c r="C270" s="112" t="s">
        <v>400</v>
      </c>
      <c r="D270" s="60" t="s">
        <v>52</v>
      </c>
      <c r="E270" s="60">
        <v>1</v>
      </c>
      <c r="F270" s="87"/>
    </row>
    <row r="271" spans="1:6" ht="15">
      <c r="A271" s="109">
        <v>45811</v>
      </c>
      <c r="B271" s="89" t="s">
        <v>402</v>
      </c>
      <c r="C271" s="122" t="s">
        <v>403</v>
      </c>
      <c r="D271" s="136" t="s">
        <v>365</v>
      </c>
      <c r="E271" s="88">
        <v>2</v>
      </c>
      <c r="F271" s="87"/>
    </row>
    <row r="272" spans="1:6" ht="15">
      <c r="A272" s="109">
        <v>45811</v>
      </c>
      <c r="B272" s="89" t="s">
        <v>402</v>
      </c>
      <c r="C272" s="122" t="s">
        <v>403</v>
      </c>
      <c r="D272" s="89" t="s">
        <v>156</v>
      </c>
      <c r="E272" s="88">
        <v>2</v>
      </c>
      <c r="F272" s="87"/>
    </row>
    <row r="273" spans="1:6">
      <c r="A273" s="93">
        <v>45818</v>
      </c>
      <c r="B273" s="60" t="s">
        <v>334</v>
      </c>
      <c r="C273" s="122" t="s">
        <v>404</v>
      </c>
      <c r="D273" s="88" t="s">
        <v>392</v>
      </c>
      <c r="E273" s="88">
        <v>12</v>
      </c>
      <c r="F273" s="87"/>
    </row>
    <row r="274" spans="1:6">
      <c r="A274" s="62">
        <v>45820</v>
      </c>
      <c r="B274" s="60" t="s">
        <v>334</v>
      </c>
      <c r="C274" s="60" t="s">
        <v>405</v>
      </c>
      <c r="D274" s="60" t="s">
        <v>406</v>
      </c>
      <c r="E274" s="60">
        <v>1</v>
      </c>
      <c r="F274" s="87"/>
    </row>
    <row r="275" spans="1:6">
      <c r="A275" s="62">
        <v>45825</v>
      </c>
      <c r="B275" s="60" t="s">
        <v>334</v>
      </c>
      <c r="C275" s="60" t="s">
        <v>407</v>
      </c>
      <c r="D275" s="60" t="s">
        <v>336</v>
      </c>
      <c r="E275" s="60">
        <v>2</v>
      </c>
      <c r="F275" s="87"/>
    </row>
    <row r="276" spans="1:6">
      <c r="A276" s="62">
        <v>45825</v>
      </c>
      <c r="B276" s="60" t="s">
        <v>334</v>
      </c>
      <c r="C276" s="60" t="s">
        <v>407</v>
      </c>
      <c r="D276" s="60" t="s">
        <v>408</v>
      </c>
      <c r="E276" s="60">
        <v>1</v>
      </c>
      <c r="F276" s="87"/>
    </row>
    <row r="277" spans="1:6">
      <c r="A277" s="62">
        <v>45825</v>
      </c>
      <c r="B277" s="60" t="s">
        <v>334</v>
      </c>
      <c r="C277" s="60" t="s">
        <v>407</v>
      </c>
      <c r="D277" s="62" t="s">
        <v>33</v>
      </c>
      <c r="E277" s="60">
        <v>1</v>
      </c>
      <c r="F277" s="87"/>
    </row>
    <row r="278" spans="1:6">
      <c r="A278" s="62">
        <v>45833</v>
      </c>
      <c r="B278" s="60" t="s">
        <v>334</v>
      </c>
      <c r="C278" s="60" t="s">
        <v>409</v>
      </c>
      <c r="D278" s="60" t="s">
        <v>395</v>
      </c>
      <c r="E278" s="60">
        <v>1</v>
      </c>
      <c r="F278" s="87"/>
    </row>
    <row r="279" spans="1:6">
      <c r="A279" s="62">
        <v>45833</v>
      </c>
      <c r="B279" s="60" t="s">
        <v>334</v>
      </c>
      <c r="C279" s="60" t="s">
        <v>410</v>
      </c>
      <c r="D279" s="60" t="s">
        <v>392</v>
      </c>
      <c r="E279" s="60">
        <v>1</v>
      </c>
      <c r="F279" s="87"/>
    </row>
    <row r="280" spans="1:6">
      <c r="A280" s="62">
        <v>45833</v>
      </c>
      <c r="B280" s="60" t="s">
        <v>334</v>
      </c>
      <c r="C280" s="60" t="s">
        <v>410</v>
      </c>
      <c r="D280" s="89" t="s">
        <v>156</v>
      </c>
      <c r="E280" s="60">
        <v>1</v>
      </c>
      <c r="F280" s="87"/>
    </row>
    <row r="281" spans="1:6">
      <c r="A281" s="62">
        <v>45833</v>
      </c>
      <c r="B281" s="60" t="s">
        <v>334</v>
      </c>
      <c r="C281" s="60" t="s">
        <v>411</v>
      </c>
      <c r="D281" s="62" t="s">
        <v>33</v>
      </c>
      <c r="E281" s="60">
        <v>1</v>
      </c>
      <c r="F281" s="87"/>
    </row>
    <row r="282" spans="1:6">
      <c r="A282" s="62">
        <v>45833</v>
      </c>
      <c r="B282" s="60" t="s">
        <v>334</v>
      </c>
      <c r="C282" s="60" t="s">
        <v>411</v>
      </c>
      <c r="D282" s="62" t="s">
        <v>412</v>
      </c>
      <c r="E282" s="60">
        <v>1</v>
      </c>
      <c r="F282" s="87"/>
    </row>
    <row r="283" spans="1:6">
      <c r="A283" s="62">
        <v>45833</v>
      </c>
      <c r="B283" s="60" t="s">
        <v>334</v>
      </c>
      <c r="C283" s="60" t="s">
        <v>411</v>
      </c>
      <c r="D283" s="60" t="s">
        <v>311</v>
      </c>
      <c r="E283" s="60">
        <v>2</v>
      </c>
      <c r="F283" s="87"/>
    </row>
    <row r="284" spans="1:6">
      <c r="A284" s="62">
        <v>45833</v>
      </c>
      <c r="B284" s="60" t="s">
        <v>334</v>
      </c>
      <c r="C284" s="60" t="s">
        <v>413</v>
      </c>
      <c r="D284" s="60" t="s">
        <v>216</v>
      </c>
      <c r="E284" s="60">
        <v>1</v>
      </c>
      <c r="F284" s="87"/>
    </row>
    <row r="285" spans="1:6">
      <c r="A285" s="89">
        <v>45833</v>
      </c>
      <c r="B285" s="60" t="s">
        <v>334</v>
      </c>
      <c r="C285" s="88" t="s">
        <v>413</v>
      </c>
      <c r="D285" s="34" t="s">
        <v>48</v>
      </c>
      <c r="E285" s="88">
        <v>1</v>
      </c>
      <c r="F285" s="87"/>
    </row>
    <row r="286" spans="1:6">
      <c r="A286" s="62">
        <v>45843</v>
      </c>
      <c r="B286" s="60" t="s">
        <v>334</v>
      </c>
      <c r="C286" s="60" t="s">
        <v>414</v>
      </c>
      <c r="D286" s="60" t="s">
        <v>306</v>
      </c>
      <c r="E286" s="60">
        <v>3</v>
      </c>
      <c r="F286" s="87"/>
    </row>
    <row r="287" spans="1:6">
      <c r="A287" s="62">
        <v>45843</v>
      </c>
      <c r="B287" s="60" t="s">
        <v>334</v>
      </c>
      <c r="C287" s="60" t="s">
        <v>414</v>
      </c>
      <c r="D287" s="60" t="s">
        <v>336</v>
      </c>
      <c r="E287" s="60">
        <v>1</v>
      </c>
      <c r="F287" s="87"/>
    </row>
    <row r="288" spans="1:6">
      <c r="A288" s="89">
        <v>45843</v>
      </c>
      <c r="B288" s="60" t="s">
        <v>334</v>
      </c>
      <c r="C288" s="88" t="s">
        <v>414</v>
      </c>
      <c r="D288" s="88" t="s">
        <v>156</v>
      </c>
      <c r="E288" s="88">
        <v>3</v>
      </c>
      <c r="F288" s="87"/>
    </row>
    <row r="289" spans="1:6">
      <c r="A289" s="62">
        <v>45846</v>
      </c>
      <c r="B289" s="60" t="s">
        <v>334</v>
      </c>
      <c r="C289" s="60" t="s">
        <v>415</v>
      </c>
      <c r="D289" s="60" t="s">
        <v>416</v>
      </c>
      <c r="E289" s="60">
        <v>5</v>
      </c>
      <c r="F289" s="87"/>
    </row>
    <row r="290" spans="1:6">
      <c r="A290" s="62">
        <v>45846</v>
      </c>
      <c r="B290" s="60" t="s">
        <v>163</v>
      </c>
      <c r="C290" s="60" t="s">
        <v>417</v>
      </c>
      <c r="D290" s="116" t="s">
        <v>142</v>
      </c>
      <c r="E290" s="60">
        <v>4</v>
      </c>
      <c r="F290" s="87"/>
    </row>
    <row r="291" spans="1:6" ht="15">
      <c r="A291" s="62">
        <v>45846</v>
      </c>
      <c r="B291" s="60" t="s">
        <v>334</v>
      </c>
      <c r="C291" s="60" t="s">
        <v>415</v>
      </c>
      <c r="D291" s="60" t="s">
        <v>359</v>
      </c>
      <c r="E291" s="60">
        <v>4</v>
      </c>
      <c r="F291" s="87"/>
    </row>
    <row r="292" spans="1:6" ht="15">
      <c r="A292" s="62">
        <v>45847</v>
      </c>
      <c r="B292" s="60" t="s">
        <v>163</v>
      </c>
      <c r="C292" s="60" t="s">
        <v>418</v>
      </c>
      <c r="D292" s="116" t="s">
        <v>142</v>
      </c>
      <c r="E292" s="60">
        <v>4</v>
      </c>
      <c r="F292" s="87"/>
    </row>
    <row r="293" spans="1:6">
      <c r="A293" s="89">
        <v>45847</v>
      </c>
      <c r="B293" s="88" t="s">
        <v>163</v>
      </c>
      <c r="C293" s="88" t="s">
        <v>417</v>
      </c>
      <c r="D293" s="88" t="s">
        <v>283</v>
      </c>
      <c r="E293" s="88">
        <v>2</v>
      </c>
      <c r="F293" s="87"/>
    </row>
    <row r="294" spans="1:6">
      <c r="A294" s="89">
        <v>45850</v>
      </c>
      <c r="B294" s="88" t="s">
        <v>419</v>
      </c>
      <c r="C294" s="88" t="s">
        <v>420</v>
      </c>
      <c r="D294" s="88" t="s">
        <v>50</v>
      </c>
      <c r="E294" s="88">
        <v>1</v>
      </c>
      <c r="F294" s="87"/>
    </row>
    <row r="295" spans="1:6">
      <c r="A295" s="89">
        <v>45855</v>
      </c>
      <c r="B295" s="60" t="s">
        <v>334</v>
      </c>
      <c r="C295" s="88" t="s">
        <v>421</v>
      </c>
      <c r="D295" s="88" t="s">
        <v>282</v>
      </c>
      <c r="E295" s="88">
        <v>1</v>
      </c>
      <c r="F295" s="87"/>
    </row>
    <row r="296" spans="1:6">
      <c r="A296" s="89">
        <v>45858</v>
      </c>
      <c r="B296" s="60" t="s">
        <v>334</v>
      </c>
      <c r="C296" s="89"/>
      <c r="D296" s="89" t="s">
        <v>52</v>
      </c>
      <c r="E296" s="88">
        <v>1</v>
      </c>
      <c r="F296" s="87"/>
    </row>
    <row r="297" spans="1:6">
      <c r="A297" s="62">
        <v>45860</v>
      </c>
      <c r="B297" s="60" t="s">
        <v>163</v>
      </c>
      <c r="C297" s="60" t="s">
        <v>422</v>
      </c>
      <c r="D297" s="116" t="s">
        <v>142</v>
      </c>
      <c r="E297" s="60">
        <v>1</v>
      </c>
      <c r="F297" s="87"/>
    </row>
    <row r="298" spans="1:6">
      <c r="A298" s="89">
        <v>45860</v>
      </c>
      <c r="B298" s="88" t="s">
        <v>163</v>
      </c>
      <c r="C298" s="88" t="s">
        <v>422</v>
      </c>
      <c r="D298" s="146" t="s">
        <v>423</v>
      </c>
      <c r="E298" s="88">
        <v>3</v>
      </c>
      <c r="F298" s="87"/>
    </row>
    <row r="299" spans="1:6">
      <c r="A299" s="62">
        <v>45863</v>
      </c>
      <c r="B299" s="60" t="s">
        <v>334</v>
      </c>
      <c r="C299" s="60" t="s">
        <v>396</v>
      </c>
      <c r="D299" s="60" t="s">
        <v>282</v>
      </c>
      <c r="E299" s="60">
        <v>11</v>
      </c>
      <c r="F299" s="87"/>
    </row>
    <row r="300" spans="1:6">
      <c r="A300" s="62">
        <v>45863</v>
      </c>
      <c r="B300" s="60" t="s">
        <v>334</v>
      </c>
      <c r="C300" s="60" t="s">
        <v>396</v>
      </c>
      <c r="D300" s="60" t="s">
        <v>424</v>
      </c>
      <c r="E300" s="60">
        <v>1</v>
      </c>
      <c r="F300" s="87"/>
    </row>
    <row r="301" spans="1:6">
      <c r="A301" s="89">
        <v>45863</v>
      </c>
      <c r="B301" s="60" t="s">
        <v>334</v>
      </c>
      <c r="C301" s="88" t="s">
        <v>396</v>
      </c>
      <c r="D301" s="88" t="s">
        <v>425</v>
      </c>
      <c r="E301" s="88">
        <v>2</v>
      </c>
      <c r="F301" s="87"/>
    </row>
    <row r="302" spans="1:6">
      <c r="A302" s="89">
        <v>45864</v>
      </c>
      <c r="B302" s="88" t="s">
        <v>163</v>
      </c>
      <c r="C302" s="88" t="s">
        <v>426</v>
      </c>
      <c r="D302" s="88" t="s">
        <v>427</v>
      </c>
      <c r="E302" s="88">
        <v>2</v>
      </c>
      <c r="F302" s="87"/>
    </row>
    <row r="303" spans="1:6">
      <c r="A303" s="89">
        <v>45870</v>
      </c>
      <c r="B303" s="88" t="s">
        <v>163</v>
      </c>
      <c r="C303" s="88" t="s">
        <v>428</v>
      </c>
      <c r="D303" s="146" t="s">
        <v>142</v>
      </c>
      <c r="E303" s="88">
        <v>2</v>
      </c>
      <c r="F303" s="87"/>
    </row>
    <row r="304" spans="1:6" ht="15">
      <c r="A304" s="62">
        <v>45874</v>
      </c>
      <c r="B304" s="60" t="s">
        <v>163</v>
      </c>
      <c r="C304" s="60" t="s">
        <v>429</v>
      </c>
      <c r="D304" s="105" t="s">
        <v>430</v>
      </c>
      <c r="E304" s="60">
        <v>1</v>
      </c>
      <c r="F304" s="87"/>
    </row>
    <row r="305" spans="1:6" ht="15">
      <c r="A305" s="89">
        <v>45874</v>
      </c>
      <c r="B305" s="88" t="s">
        <v>163</v>
      </c>
      <c r="C305" s="88" t="s">
        <v>429</v>
      </c>
      <c r="D305" s="139" t="s">
        <v>431</v>
      </c>
      <c r="E305" s="88">
        <v>2</v>
      </c>
      <c r="F305" s="87"/>
    </row>
    <row r="306" spans="1:6">
      <c r="A306" s="89">
        <v>45881</v>
      </c>
      <c r="B306" s="88" t="s">
        <v>402</v>
      </c>
      <c r="C306" s="88" t="s">
        <v>432</v>
      </c>
      <c r="D306" s="88" t="s">
        <v>427</v>
      </c>
      <c r="E306" s="88">
        <v>2</v>
      </c>
      <c r="F306" s="87"/>
    </row>
    <row r="307" spans="1:6">
      <c r="A307" s="62">
        <v>45882</v>
      </c>
      <c r="B307" s="60" t="s">
        <v>334</v>
      </c>
      <c r="C307" s="60" t="s">
        <v>432</v>
      </c>
      <c r="D307" s="60" t="s">
        <v>433</v>
      </c>
      <c r="E307" s="60">
        <v>6</v>
      </c>
      <c r="F307" s="87"/>
    </row>
    <row r="308" spans="1:6">
      <c r="A308" s="62">
        <v>45882</v>
      </c>
      <c r="B308" s="60" t="s">
        <v>334</v>
      </c>
      <c r="C308" s="60" t="s">
        <v>432</v>
      </c>
      <c r="D308" s="60" t="s">
        <v>434</v>
      </c>
      <c r="E308" s="60">
        <v>1</v>
      </c>
      <c r="F308" s="87"/>
    </row>
    <row r="309" spans="1:6">
      <c r="A309" s="62">
        <v>45898</v>
      </c>
      <c r="B309" s="60" t="s">
        <v>366</v>
      </c>
      <c r="C309" s="60" t="s">
        <v>435</v>
      </c>
      <c r="D309" s="88" t="s">
        <v>427</v>
      </c>
      <c r="E309" s="60">
        <v>1</v>
      </c>
      <c r="F309" s="87"/>
    </row>
    <row r="310" spans="1:6" ht="15">
      <c r="A310" s="62">
        <v>45898</v>
      </c>
      <c r="B310" s="60" t="s">
        <v>436</v>
      </c>
      <c r="C310" s="60" t="s">
        <v>437</v>
      </c>
      <c r="D310" s="105" t="s">
        <v>156</v>
      </c>
      <c r="E310" s="60">
        <v>2</v>
      </c>
      <c r="F310" s="87"/>
    </row>
    <row r="311" spans="1:6" ht="15">
      <c r="A311" s="89">
        <v>45898</v>
      </c>
      <c r="B311" s="88" t="s">
        <v>436</v>
      </c>
      <c r="C311" s="88" t="s">
        <v>437</v>
      </c>
      <c r="D311" s="139" t="s">
        <v>438</v>
      </c>
      <c r="E311" s="88">
        <v>1</v>
      </c>
      <c r="F311" s="87"/>
    </row>
    <row r="312" spans="1:6" ht="15">
      <c r="A312" s="62">
        <v>45898</v>
      </c>
      <c r="B312" s="60" t="s">
        <v>436</v>
      </c>
      <c r="C312" s="60" t="s">
        <v>437</v>
      </c>
      <c r="D312" s="105" t="s">
        <v>439</v>
      </c>
      <c r="E312" s="60">
        <v>1</v>
      </c>
      <c r="F312" s="87"/>
    </row>
    <row r="313" spans="1:6" ht="15">
      <c r="A313" s="62">
        <v>45899</v>
      </c>
      <c r="B313" s="60" t="s">
        <v>163</v>
      </c>
      <c r="C313" s="60" t="s">
        <v>440</v>
      </c>
      <c r="D313" s="60" t="s">
        <v>427</v>
      </c>
      <c r="E313" s="60">
        <v>4</v>
      </c>
      <c r="F313" s="87"/>
    </row>
    <row r="314" spans="1:6" ht="15">
      <c r="A314" s="62">
        <v>45899</v>
      </c>
      <c r="B314" s="60" t="s">
        <v>163</v>
      </c>
      <c r="C314" s="60" t="s">
        <v>440</v>
      </c>
      <c r="D314" s="60" t="s">
        <v>441</v>
      </c>
      <c r="E314" s="60">
        <v>2</v>
      </c>
      <c r="F314" s="87"/>
    </row>
    <row r="315" spans="1:6">
      <c r="A315" s="61">
        <v>45903</v>
      </c>
      <c r="B315" s="60" t="s">
        <v>334</v>
      </c>
      <c r="C315" s="1" t="s">
        <v>442</v>
      </c>
      <c r="D315" s="60" t="s">
        <v>441</v>
      </c>
      <c r="E315" s="1">
        <v>2</v>
      </c>
      <c r="F315" s="87"/>
    </row>
    <row r="316" spans="1:6" ht="15">
      <c r="A316" s="62">
        <v>45912</v>
      </c>
      <c r="B316" s="60" t="s">
        <v>443</v>
      </c>
      <c r="C316" s="60" t="s">
        <v>444</v>
      </c>
      <c r="D316" s="105" t="s">
        <v>438</v>
      </c>
      <c r="E316" s="60">
        <v>1</v>
      </c>
      <c r="F316" s="87"/>
    </row>
    <row r="317" spans="1:6">
      <c r="A317" s="62">
        <v>45923</v>
      </c>
      <c r="B317" s="60" t="s">
        <v>163</v>
      </c>
      <c r="C317" s="60" t="s">
        <v>445</v>
      </c>
      <c r="D317" s="60" t="s">
        <v>446</v>
      </c>
      <c r="E317" s="60">
        <v>3</v>
      </c>
      <c r="F317" s="87"/>
    </row>
    <row r="318" spans="1:6" ht="15">
      <c r="A318" s="89">
        <v>45932</v>
      </c>
      <c r="B318" s="62" t="s">
        <v>447</v>
      </c>
      <c r="C318" s="88" t="s">
        <v>448</v>
      </c>
      <c r="D318" s="60" t="s">
        <v>449</v>
      </c>
      <c r="E318" s="88">
        <v>3</v>
      </c>
      <c r="F318" s="87"/>
    </row>
    <row r="319" spans="1:6" ht="15">
      <c r="A319" s="89">
        <v>45932</v>
      </c>
      <c r="B319" s="62" t="s">
        <v>447</v>
      </c>
      <c r="C319" s="60" t="s">
        <v>450</v>
      </c>
      <c r="D319" s="60" t="s">
        <v>451</v>
      </c>
      <c r="E319" s="60">
        <v>2</v>
      </c>
      <c r="F319" s="87"/>
    </row>
    <row r="320" spans="1:6">
      <c r="A320" s="89">
        <v>45932</v>
      </c>
      <c r="B320" s="62" t="s">
        <v>447</v>
      </c>
      <c r="C320" s="60" t="s">
        <v>450</v>
      </c>
      <c r="D320" s="60" t="s">
        <v>439</v>
      </c>
      <c r="E320" s="60">
        <v>2</v>
      </c>
      <c r="F320" s="87"/>
    </row>
    <row r="321" spans="1:6" ht="15">
      <c r="A321" s="89">
        <v>45932</v>
      </c>
      <c r="B321" s="62" t="s">
        <v>447</v>
      </c>
      <c r="C321" s="60" t="s">
        <v>450</v>
      </c>
      <c r="D321" s="105" t="s">
        <v>156</v>
      </c>
      <c r="E321" s="60">
        <v>2</v>
      </c>
      <c r="F321" s="87"/>
    </row>
    <row r="322" spans="1:6">
      <c r="A322" s="62">
        <v>45932</v>
      </c>
      <c r="B322" s="62" t="s">
        <v>447</v>
      </c>
      <c r="C322" s="60" t="s">
        <v>450</v>
      </c>
      <c r="D322" s="60" t="s">
        <v>216</v>
      </c>
      <c r="E322" s="60">
        <v>1</v>
      </c>
      <c r="F322" s="87"/>
    </row>
    <row r="323" spans="1:6">
      <c r="A323" s="62">
        <v>45933</v>
      </c>
      <c r="B323" s="62" t="s">
        <v>447</v>
      </c>
      <c r="C323" s="60" t="s">
        <v>452</v>
      </c>
      <c r="D323" s="60" t="s">
        <v>449</v>
      </c>
      <c r="E323" s="60">
        <v>6</v>
      </c>
      <c r="F323" s="87"/>
    </row>
    <row r="324" spans="1:6" ht="15">
      <c r="A324" s="62">
        <v>45934</v>
      </c>
      <c r="B324" s="60" t="s">
        <v>453</v>
      </c>
      <c r="C324" s="60" t="s">
        <v>452</v>
      </c>
      <c r="D324" s="60" t="s">
        <v>454</v>
      </c>
      <c r="E324" s="60">
        <v>6</v>
      </c>
      <c r="F324" s="87"/>
    </row>
    <row r="325" spans="1:6" ht="15">
      <c r="A325" s="62">
        <v>45936</v>
      </c>
      <c r="B325" s="62" t="s">
        <v>447</v>
      </c>
      <c r="C325" s="60" t="s">
        <v>455</v>
      </c>
      <c r="D325" s="60" t="s">
        <v>456</v>
      </c>
      <c r="E325" s="60">
        <v>2</v>
      </c>
      <c r="F325" s="87"/>
    </row>
    <row r="326" spans="1:6" ht="15">
      <c r="A326" s="89">
        <v>45936</v>
      </c>
      <c r="B326" s="89" t="s">
        <v>447</v>
      </c>
      <c r="C326" s="1" t="s">
        <v>455</v>
      </c>
      <c r="D326" s="88" t="s">
        <v>47</v>
      </c>
      <c r="E326" s="88">
        <v>1</v>
      </c>
      <c r="F326" s="90"/>
    </row>
    <row r="327" spans="1:6" ht="15">
      <c r="A327" s="89">
        <v>45936</v>
      </c>
      <c r="B327" s="89" t="s">
        <v>447</v>
      </c>
      <c r="C327" s="88" t="s">
        <v>455</v>
      </c>
      <c r="D327" s="88" t="s">
        <v>439</v>
      </c>
      <c r="E327" s="88">
        <v>2</v>
      </c>
      <c r="F327" s="117"/>
    </row>
    <row r="328" spans="1:6" ht="15">
      <c r="A328" s="62">
        <v>45940</v>
      </c>
      <c r="B328" s="60" t="s">
        <v>334</v>
      </c>
      <c r="C328" s="88" t="s">
        <v>457</v>
      </c>
      <c r="D328" s="88" t="s">
        <v>441</v>
      </c>
      <c r="E328" s="88">
        <v>3</v>
      </c>
      <c r="F328" s="87"/>
    </row>
    <row r="329" spans="1:6" ht="15">
      <c r="A329" s="62">
        <v>45949</v>
      </c>
      <c r="B329" s="60" t="s">
        <v>334</v>
      </c>
      <c r="C329" s="60" t="s">
        <v>458</v>
      </c>
      <c r="D329" s="60" t="s">
        <v>266</v>
      </c>
      <c r="E329" s="60">
        <v>3</v>
      </c>
      <c r="F329" s="87"/>
    </row>
    <row r="330" spans="1:6" ht="15">
      <c r="A330" s="62">
        <v>45949</v>
      </c>
      <c r="B330" s="60" t="s">
        <v>334</v>
      </c>
      <c r="C330" s="60" t="s">
        <v>458</v>
      </c>
      <c r="D330" s="20" t="s">
        <v>156</v>
      </c>
      <c r="E330" s="60">
        <v>3</v>
      </c>
      <c r="F330" s="87"/>
    </row>
    <row r="331" spans="1:6" ht="15">
      <c r="A331" s="62">
        <v>45949</v>
      </c>
      <c r="B331" s="60" t="s">
        <v>334</v>
      </c>
      <c r="C331" s="60" t="s">
        <v>459</v>
      </c>
      <c r="D331" s="60" t="s">
        <v>460</v>
      </c>
      <c r="E331" s="60">
        <v>4</v>
      </c>
      <c r="F331" s="87"/>
    </row>
    <row r="332" spans="1:6" ht="15">
      <c r="A332" s="62">
        <v>45949</v>
      </c>
      <c r="B332" s="60" t="s">
        <v>334</v>
      </c>
      <c r="C332" s="60" t="s">
        <v>459</v>
      </c>
      <c r="D332" s="60" t="s">
        <v>461</v>
      </c>
      <c r="E332" s="60">
        <v>1</v>
      </c>
      <c r="F332" s="87"/>
    </row>
    <row r="333" spans="1:6" ht="15">
      <c r="A333" s="62">
        <v>45949</v>
      </c>
      <c r="B333" s="60" t="s">
        <v>334</v>
      </c>
      <c r="C333" s="60" t="s">
        <v>459</v>
      </c>
      <c r="D333" s="60" t="s">
        <v>462</v>
      </c>
      <c r="E333" s="60">
        <v>4</v>
      </c>
      <c r="F333" s="87"/>
    </row>
    <row r="334" spans="1:6" ht="15">
      <c r="A334" s="62">
        <v>45949</v>
      </c>
      <c r="B334" s="60" t="s">
        <v>334</v>
      </c>
      <c r="C334" s="60" t="s">
        <v>459</v>
      </c>
      <c r="D334" s="60" t="s">
        <v>463</v>
      </c>
      <c r="E334" s="60">
        <v>2</v>
      </c>
      <c r="F334" s="87"/>
    </row>
    <row r="335" spans="1:6" ht="15">
      <c r="A335" s="62">
        <v>45949</v>
      </c>
      <c r="B335" s="60" t="s">
        <v>334</v>
      </c>
      <c r="C335" s="60" t="s">
        <v>459</v>
      </c>
      <c r="D335" s="60" t="s">
        <v>464</v>
      </c>
      <c r="E335" s="60">
        <v>1</v>
      </c>
      <c r="F335" s="87"/>
    </row>
    <row r="336" spans="1:6" ht="15">
      <c r="A336" s="62">
        <v>45949</v>
      </c>
      <c r="B336" s="60" t="s">
        <v>334</v>
      </c>
      <c r="C336" s="60" t="s">
        <v>459</v>
      </c>
      <c r="D336" s="88" t="s">
        <v>465</v>
      </c>
      <c r="E336" s="60">
        <v>2</v>
      </c>
      <c r="F336" s="147"/>
    </row>
    <row r="337" spans="1:6" ht="15">
      <c r="A337" s="62">
        <v>45960</v>
      </c>
      <c r="B337" s="112" t="s">
        <v>163</v>
      </c>
      <c r="C337" s="60" t="s">
        <v>466</v>
      </c>
      <c r="D337" s="60" t="s">
        <v>467</v>
      </c>
      <c r="E337" s="60" t="s">
        <v>467</v>
      </c>
      <c r="F337" s="147"/>
    </row>
    <row r="338" spans="1:6" ht="15">
      <c r="A338" s="62">
        <v>45965</v>
      </c>
      <c r="B338" s="60" t="s">
        <v>334</v>
      </c>
      <c r="C338" s="60" t="s">
        <v>468</v>
      </c>
      <c r="D338" s="88" t="s">
        <v>46</v>
      </c>
      <c r="E338" s="60">
        <v>2</v>
      </c>
      <c r="F338" s="147"/>
    </row>
    <row r="339" spans="1:6" ht="15">
      <c r="A339" s="89">
        <v>45982</v>
      </c>
      <c r="B339" s="122" t="s">
        <v>469</v>
      </c>
      <c r="C339" s="88" t="s">
        <v>470</v>
      </c>
      <c r="D339" s="88" t="s">
        <v>438</v>
      </c>
      <c r="E339" s="88">
        <v>2</v>
      </c>
      <c r="F339" s="147"/>
    </row>
    <row r="340" spans="1:6" ht="15">
      <c r="A340" s="62">
        <v>45982</v>
      </c>
      <c r="B340" s="60" t="s">
        <v>469</v>
      </c>
      <c r="C340" s="60" t="s">
        <v>470</v>
      </c>
      <c r="D340" s="60" t="s">
        <v>216</v>
      </c>
      <c r="E340" s="60">
        <v>1</v>
      </c>
      <c r="F340" s="147"/>
    </row>
    <row r="341" spans="1:6" ht="15">
      <c r="A341" s="62">
        <v>45982</v>
      </c>
      <c r="B341" s="60" t="s">
        <v>469</v>
      </c>
      <c r="C341" s="60" t="s">
        <v>470</v>
      </c>
      <c r="D341" s="60" t="s">
        <v>471</v>
      </c>
      <c r="E341" s="60">
        <v>2</v>
      </c>
      <c r="F341" s="147"/>
    </row>
    <row r="342" spans="1:6" ht="15">
      <c r="A342" s="62">
        <v>45982</v>
      </c>
      <c r="B342" s="60" t="s">
        <v>469</v>
      </c>
      <c r="C342" s="60" t="s">
        <v>470</v>
      </c>
      <c r="D342" s="60" t="s">
        <v>462</v>
      </c>
      <c r="E342" s="60">
        <v>2</v>
      </c>
      <c r="F342" s="147"/>
    </row>
    <row r="343" spans="1:6" ht="15">
      <c r="A343" s="62">
        <v>45984</v>
      </c>
      <c r="B343" s="60" t="s">
        <v>469</v>
      </c>
      <c r="C343" s="60" t="s">
        <v>472</v>
      </c>
      <c r="D343" s="60" t="s">
        <v>460</v>
      </c>
      <c r="E343" s="60">
        <v>3</v>
      </c>
      <c r="F343" s="147"/>
    </row>
    <row r="344" spans="1:6" ht="15">
      <c r="A344" s="89">
        <v>45984</v>
      </c>
      <c r="B344" s="88" t="s">
        <v>469</v>
      </c>
      <c r="C344" s="88" t="s">
        <v>472</v>
      </c>
      <c r="D344" s="88" t="s">
        <v>473</v>
      </c>
      <c r="E344" s="88">
        <v>1</v>
      </c>
      <c r="F344" s="147"/>
    </row>
    <row r="345" spans="1:6" ht="15">
      <c r="A345" s="62">
        <v>45984</v>
      </c>
      <c r="B345" s="60" t="s">
        <v>469</v>
      </c>
      <c r="C345" s="60" t="s">
        <v>472</v>
      </c>
      <c r="D345" s="60" t="s">
        <v>156</v>
      </c>
      <c r="E345" s="60">
        <v>3</v>
      </c>
      <c r="F345" s="147"/>
    </row>
    <row r="346" spans="1:6" ht="15">
      <c r="A346" s="62">
        <v>45984</v>
      </c>
      <c r="B346" s="60" t="s">
        <v>469</v>
      </c>
      <c r="C346" s="60" t="s">
        <v>472</v>
      </c>
      <c r="D346" s="60" t="s">
        <v>463</v>
      </c>
      <c r="E346" s="60">
        <v>1</v>
      </c>
      <c r="F346" s="147"/>
    </row>
    <row r="347" spans="1:6" ht="15">
      <c r="A347" s="62">
        <v>45988</v>
      </c>
      <c r="B347" s="60" t="s">
        <v>474</v>
      </c>
      <c r="C347" s="60" t="s">
        <v>475</v>
      </c>
      <c r="D347" s="60" t="s">
        <v>476</v>
      </c>
      <c r="E347" s="60">
        <v>1</v>
      </c>
      <c r="F347" s="147"/>
    </row>
    <row r="348" spans="1:6" ht="15">
      <c r="A348" s="62">
        <v>45988</v>
      </c>
      <c r="B348" s="60" t="s">
        <v>474</v>
      </c>
      <c r="C348" s="60" t="s">
        <v>477</v>
      </c>
      <c r="D348" s="60" t="s">
        <v>476</v>
      </c>
      <c r="E348" s="60">
        <v>1</v>
      </c>
      <c r="F348" s="147"/>
    </row>
    <row r="349" spans="1:6" ht="15">
      <c r="A349" s="62">
        <v>45988</v>
      </c>
      <c r="B349" s="60" t="s">
        <v>474</v>
      </c>
      <c r="C349" s="60" t="s">
        <v>477</v>
      </c>
      <c r="D349" s="60" t="s">
        <v>216</v>
      </c>
      <c r="E349" s="60">
        <v>1</v>
      </c>
      <c r="F349" s="147"/>
    </row>
    <row r="350" spans="1:6" ht="15">
      <c r="A350" s="62">
        <v>45988</v>
      </c>
      <c r="B350" s="60" t="s">
        <v>478</v>
      </c>
      <c r="C350" s="60" t="s">
        <v>479</v>
      </c>
      <c r="D350" s="60" t="s">
        <v>473</v>
      </c>
      <c r="E350" s="60">
        <v>1</v>
      </c>
      <c r="F350" s="147"/>
    </row>
    <row r="351" spans="1:6" ht="15">
      <c r="A351" s="62">
        <v>45988</v>
      </c>
      <c r="B351" s="60" t="s">
        <v>478</v>
      </c>
      <c r="C351" s="60" t="s">
        <v>479</v>
      </c>
      <c r="D351" s="60" t="s">
        <v>462</v>
      </c>
      <c r="E351" s="60">
        <v>2</v>
      </c>
      <c r="F351" s="147"/>
    </row>
    <row r="352" spans="1:6">
      <c r="A352" s="62">
        <v>45991</v>
      </c>
      <c r="B352" s="60" t="s">
        <v>469</v>
      </c>
      <c r="C352" s="60" t="s">
        <v>480</v>
      </c>
      <c r="D352" s="60" t="s">
        <v>460</v>
      </c>
      <c r="E352" s="60">
        <v>1</v>
      </c>
      <c r="F352" s="147"/>
    </row>
    <row r="353" spans="1:6">
      <c r="A353" s="62">
        <v>45991</v>
      </c>
      <c r="B353" s="60" t="s">
        <v>469</v>
      </c>
      <c r="C353" s="60" t="s">
        <v>480</v>
      </c>
      <c r="D353" s="60" t="s">
        <v>473</v>
      </c>
      <c r="E353" s="60">
        <v>1</v>
      </c>
      <c r="F353" s="147"/>
    </row>
    <row r="354" spans="1:6">
      <c r="A354" s="89">
        <v>45991</v>
      </c>
      <c r="B354" s="88" t="s">
        <v>469</v>
      </c>
      <c r="C354" s="88" t="s">
        <v>480</v>
      </c>
      <c r="D354" s="88" t="s">
        <v>156</v>
      </c>
      <c r="E354" s="88">
        <v>1</v>
      </c>
      <c r="F354" s="147"/>
    </row>
    <row r="355" spans="1:6">
      <c r="A355" s="62">
        <v>45996</v>
      </c>
      <c r="B355" s="60" t="s">
        <v>481</v>
      </c>
      <c r="C355" s="60" t="s">
        <v>482</v>
      </c>
      <c r="D355" s="60" t="s">
        <v>483</v>
      </c>
      <c r="E355" s="60">
        <v>2</v>
      </c>
      <c r="F355" s="147"/>
    </row>
    <row r="356" spans="1:6">
      <c r="A356" s="62">
        <v>45996</v>
      </c>
      <c r="B356" s="60" t="s">
        <v>481</v>
      </c>
      <c r="C356" s="60" t="s">
        <v>482</v>
      </c>
      <c r="D356" s="60" t="s">
        <v>156</v>
      </c>
      <c r="E356" s="60">
        <v>1</v>
      </c>
      <c r="F356" s="147"/>
    </row>
    <row r="357" spans="1:6">
      <c r="A357" s="62">
        <v>45996</v>
      </c>
      <c r="B357" s="60" t="s">
        <v>481</v>
      </c>
      <c r="C357" s="60" t="s">
        <v>482</v>
      </c>
      <c r="D357" s="60" t="s">
        <v>216</v>
      </c>
      <c r="E357" s="60">
        <v>1</v>
      </c>
      <c r="F357" s="147"/>
    </row>
    <row r="358" spans="1:6">
      <c r="A358" s="62">
        <v>45996</v>
      </c>
      <c r="B358" s="60" t="s">
        <v>481</v>
      </c>
      <c r="C358" s="60" t="s">
        <v>482</v>
      </c>
      <c r="D358" s="60" t="s">
        <v>47</v>
      </c>
      <c r="E358" s="60">
        <v>1</v>
      </c>
      <c r="F358" s="147"/>
    </row>
    <row r="359" spans="1:6">
      <c r="A359" s="62">
        <v>45996</v>
      </c>
      <c r="B359" s="88" t="s">
        <v>334</v>
      </c>
      <c r="C359" s="88" t="s">
        <v>484</v>
      </c>
      <c r="D359" s="88" t="s">
        <v>485</v>
      </c>
      <c r="E359" s="88">
        <v>1</v>
      </c>
      <c r="F359" s="147"/>
    </row>
    <row r="360" spans="1:6">
      <c r="A360" s="62">
        <v>46002</v>
      </c>
      <c r="B360" s="60" t="s">
        <v>469</v>
      </c>
      <c r="C360" s="60" t="s">
        <v>486</v>
      </c>
      <c r="D360" s="60" t="s">
        <v>460</v>
      </c>
      <c r="E360" s="60">
        <v>1</v>
      </c>
      <c r="F360" s="147"/>
    </row>
    <row r="361" spans="1:6">
      <c r="A361" s="62">
        <v>46001</v>
      </c>
      <c r="B361" s="60" t="s">
        <v>469</v>
      </c>
      <c r="C361" s="60" t="s">
        <v>486</v>
      </c>
      <c r="D361" s="60" t="s">
        <v>483</v>
      </c>
      <c r="E361" s="60">
        <v>1</v>
      </c>
      <c r="F361" s="147"/>
    </row>
    <row r="362" spans="1:6">
      <c r="A362" s="62">
        <v>46001</v>
      </c>
      <c r="B362" s="60" t="s">
        <v>469</v>
      </c>
      <c r="C362" s="60" t="s">
        <v>486</v>
      </c>
      <c r="D362" s="60" t="s">
        <v>487</v>
      </c>
      <c r="E362" s="60">
        <v>1</v>
      </c>
      <c r="F362" s="147"/>
    </row>
    <row r="363" spans="1:6">
      <c r="A363" s="62">
        <v>46001</v>
      </c>
      <c r="B363" s="60" t="s">
        <v>469</v>
      </c>
      <c r="C363" s="60" t="s">
        <v>488</v>
      </c>
      <c r="D363" s="60" t="s">
        <v>460</v>
      </c>
      <c r="E363" s="60">
        <v>1</v>
      </c>
      <c r="F363" s="147"/>
    </row>
    <row r="364" spans="1:6">
      <c r="A364" s="62">
        <v>46001</v>
      </c>
      <c r="B364" s="60" t="s">
        <v>469</v>
      </c>
      <c r="C364" s="60" t="s">
        <v>488</v>
      </c>
      <c r="D364" s="60" t="s">
        <v>483</v>
      </c>
      <c r="E364" s="60">
        <v>1</v>
      </c>
      <c r="F364" s="147"/>
    </row>
    <row r="365" spans="1:6">
      <c r="A365" s="62">
        <v>46001</v>
      </c>
      <c r="B365" s="60" t="s">
        <v>469</v>
      </c>
      <c r="C365" s="60" t="s">
        <v>488</v>
      </c>
      <c r="D365" s="60" t="s">
        <v>487</v>
      </c>
      <c r="E365" s="60">
        <v>2</v>
      </c>
      <c r="F365" s="147"/>
    </row>
    <row r="366" spans="1:6" ht="15">
      <c r="A366" s="62">
        <v>46002</v>
      </c>
      <c r="B366" s="60" t="s">
        <v>436</v>
      </c>
      <c r="C366" s="60" t="s">
        <v>489</v>
      </c>
      <c r="D366" s="60" t="s">
        <v>460</v>
      </c>
      <c r="E366" s="60">
        <v>1</v>
      </c>
      <c r="F366" s="147"/>
    </row>
    <row r="367" spans="1:6">
      <c r="A367" s="62">
        <v>46002</v>
      </c>
      <c r="B367" s="60" t="s">
        <v>436</v>
      </c>
      <c r="C367" s="60" t="s">
        <v>489</v>
      </c>
      <c r="D367" s="60" t="s">
        <v>483</v>
      </c>
      <c r="E367" s="60">
        <v>1</v>
      </c>
      <c r="F367" s="147"/>
    </row>
    <row r="368" spans="1:6">
      <c r="A368" s="62">
        <v>46002</v>
      </c>
      <c r="B368" s="60" t="s">
        <v>436</v>
      </c>
      <c r="C368" s="60" t="s">
        <v>489</v>
      </c>
      <c r="D368" s="60" t="s">
        <v>487</v>
      </c>
      <c r="E368" s="60">
        <v>1</v>
      </c>
      <c r="F368" s="147"/>
    </row>
    <row r="369" spans="1:6" ht="15">
      <c r="A369" s="62">
        <v>46003</v>
      </c>
      <c r="B369" s="60" t="s">
        <v>481</v>
      </c>
      <c r="C369" s="60"/>
      <c r="D369" s="60" t="s">
        <v>476</v>
      </c>
      <c r="E369" s="60">
        <v>1</v>
      </c>
      <c r="F369" s="147"/>
    </row>
    <row r="370" spans="1:6">
      <c r="A370" s="62">
        <v>46006</v>
      </c>
      <c r="B370" s="60" t="s">
        <v>469</v>
      </c>
      <c r="C370" s="60" t="s">
        <v>490</v>
      </c>
      <c r="D370" s="60" t="s">
        <v>476</v>
      </c>
      <c r="E370" s="60">
        <v>2</v>
      </c>
      <c r="F370" s="147"/>
    </row>
    <row r="371" spans="1:6">
      <c r="A371" s="62">
        <v>46006</v>
      </c>
      <c r="B371" s="60" t="s">
        <v>469</v>
      </c>
      <c r="C371" s="60" t="s">
        <v>490</v>
      </c>
      <c r="D371" s="60" t="s">
        <v>460</v>
      </c>
      <c r="E371" s="60">
        <v>2</v>
      </c>
      <c r="F371" s="147"/>
    </row>
    <row r="372" spans="1:6">
      <c r="A372" s="62">
        <v>46006</v>
      </c>
      <c r="B372" s="60" t="s">
        <v>469</v>
      </c>
      <c r="C372" s="60" t="s">
        <v>490</v>
      </c>
      <c r="D372" s="60" t="s">
        <v>487</v>
      </c>
      <c r="E372" s="60">
        <v>4</v>
      </c>
      <c r="F372" s="147"/>
    </row>
    <row r="373" spans="1:6">
      <c r="A373" s="62">
        <v>46006</v>
      </c>
      <c r="B373" s="60" t="s">
        <v>469</v>
      </c>
      <c r="C373" s="60" t="s">
        <v>490</v>
      </c>
      <c r="D373" s="60" t="s">
        <v>47</v>
      </c>
      <c r="E373" s="88">
        <v>1</v>
      </c>
      <c r="F373" s="147"/>
    </row>
    <row r="374" spans="1:6">
      <c r="A374" s="62">
        <v>46007</v>
      </c>
      <c r="B374" s="60" t="s">
        <v>163</v>
      </c>
      <c r="C374" s="60" t="s">
        <v>491</v>
      </c>
      <c r="D374" s="112" t="s">
        <v>492</v>
      </c>
      <c r="E374" s="60">
        <v>3</v>
      </c>
      <c r="F374" s="147"/>
    </row>
    <row r="375" spans="1:6">
      <c r="A375" s="61">
        <v>46011</v>
      </c>
      <c r="B375" s="60" t="s">
        <v>334</v>
      </c>
      <c r="C375" s="60" t="s">
        <v>493</v>
      </c>
      <c r="D375" s="93" t="s">
        <v>52</v>
      </c>
      <c r="E375" s="60">
        <v>1</v>
      </c>
      <c r="F375" s="147"/>
    </row>
    <row r="376" spans="1:6" ht="13.5" customHeight="1">
      <c r="A376" s="61">
        <v>46021</v>
      </c>
      <c r="B376" s="60" t="s">
        <v>334</v>
      </c>
      <c r="C376" s="60" t="s">
        <v>494</v>
      </c>
      <c r="D376" s="148" t="s">
        <v>33</v>
      </c>
      <c r="E376" s="60">
        <v>5</v>
      </c>
      <c r="F376" s="147"/>
    </row>
    <row r="377" spans="1:6">
      <c r="A377" s="61">
        <v>46021</v>
      </c>
      <c r="B377" s="60" t="s">
        <v>334</v>
      </c>
      <c r="C377" s="60" t="s">
        <v>494</v>
      </c>
      <c r="D377" s="112" t="s">
        <v>495</v>
      </c>
      <c r="E377" s="60">
        <v>2</v>
      </c>
      <c r="F377" s="147"/>
    </row>
    <row r="378" spans="1:6">
      <c r="A378" s="89">
        <v>46027</v>
      </c>
      <c r="B378" s="88" t="s">
        <v>334</v>
      </c>
      <c r="C378" s="88" t="s">
        <v>496</v>
      </c>
      <c r="D378" s="122" t="s">
        <v>47</v>
      </c>
      <c r="E378" s="60">
        <v>1</v>
      </c>
      <c r="F378" s="147"/>
    </row>
    <row r="379" spans="1:6" ht="15">
      <c r="A379" s="89">
        <v>46030</v>
      </c>
      <c r="B379" s="88" t="s">
        <v>497</v>
      </c>
      <c r="C379" s="88" t="s">
        <v>498</v>
      </c>
      <c r="D379" s="88" t="s">
        <v>216</v>
      </c>
      <c r="E379" s="88">
        <v>1</v>
      </c>
      <c r="F379" s="147"/>
    </row>
    <row r="380" spans="1:6" ht="15">
      <c r="A380" s="62">
        <v>46031</v>
      </c>
      <c r="B380" s="60" t="s">
        <v>163</v>
      </c>
      <c r="C380" s="60" t="s">
        <v>499</v>
      </c>
      <c r="D380" s="60" t="s">
        <v>324</v>
      </c>
      <c r="E380" s="60">
        <v>2</v>
      </c>
      <c r="F380" s="147"/>
    </row>
    <row r="381" spans="1:6" ht="15">
      <c r="A381" s="89">
        <v>46031</v>
      </c>
      <c r="B381" s="88" t="s">
        <v>163</v>
      </c>
      <c r="C381" s="88" t="s">
        <v>499</v>
      </c>
      <c r="D381" s="88" t="s">
        <v>40</v>
      </c>
      <c r="E381" s="88">
        <v>1</v>
      </c>
      <c r="F381" s="147"/>
    </row>
    <row r="382" spans="1:6" ht="11.25" customHeight="1">
      <c r="A382" s="62">
        <v>46041</v>
      </c>
      <c r="B382" s="60" t="s">
        <v>334</v>
      </c>
      <c r="C382" s="60" t="s">
        <v>500</v>
      </c>
      <c r="D382" s="60" t="s">
        <v>47</v>
      </c>
      <c r="E382" s="60">
        <v>1</v>
      </c>
      <c r="F382" s="147"/>
    </row>
    <row r="383" spans="1:6" ht="11.25" customHeight="1">
      <c r="A383" s="62">
        <v>46042</v>
      </c>
      <c r="B383" s="60" t="s">
        <v>497</v>
      </c>
      <c r="C383" s="60" t="s">
        <v>498</v>
      </c>
      <c r="D383" s="60" t="s">
        <v>501</v>
      </c>
      <c r="E383" s="60">
        <v>2</v>
      </c>
      <c r="F383" s="147"/>
    </row>
    <row r="384" spans="1:6" ht="11.25" customHeight="1">
      <c r="A384" s="62">
        <v>46042</v>
      </c>
      <c r="B384" s="60" t="s">
        <v>497</v>
      </c>
      <c r="C384" s="88" t="s">
        <v>498</v>
      </c>
      <c r="D384" s="60" t="s">
        <v>502</v>
      </c>
      <c r="E384" s="60">
        <v>2</v>
      </c>
      <c r="F384" s="147"/>
    </row>
    <row r="385" spans="1:6" ht="11.25" customHeight="1">
      <c r="A385" s="62">
        <v>46044</v>
      </c>
      <c r="B385" s="112" t="s">
        <v>503</v>
      </c>
      <c r="C385" s="149" t="s">
        <v>504</v>
      </c>
      <c r="D385" s="60" t="s">
        <v>487</v>
      </c>
      <c r="E385" s="60">
        <v>1</v>
      </c>
      <c r="F385" s="147"/>
    </row>
    <row r="386" spans="1:6" ht="11.25" customHeight="1">
      <c r="A386" s="62">
        <v>46044</v>
      </c>
      <c r="B386" s="112" t="s">
        <v>503</v>
      </c>
      <c r="C386" s="149" t="s">
        <v>504</v>
      </c>
      <c r="D386" s="60" t="s">
        <v>483</v>
      </c>
      <c r="E386" s="60">
        <v>1</v>
      </c>
      <c r="F386" s="147"/>
    </row>
    <row r="387" spans="1:6" ht="11.25" customHeight="1">
      <c r="A387" s="62">
        <v>46044</v>
      </c>
      <c r="B387" s="112" t="s">
        <v>503</v>
      </c>
      <c r="C387" s="149" t="s">
        <v>504</v>
      </c>
      <c r="D387" s="60" t="s">
        <v>216</v>
      </c>
      <c r="E387" s="60">
        <v>1</v>
      </c>
      <c r="F387" s="147"/>
    </row>
    <row r="388" spans="1:6" ht="11.25" customHeight="1">
      <c r="A388" s="117"/>
      <c r="B388" s="117"/>
      <c r="C388" s="150"/>
      <c r="D388" s="117"/>
      <c r="E388" s="117"/>
      <c r="F388" s="147"/>
    </row>
  </sheetData>
  <autoFilter ref="A1:E383" xr:uid="{151468AF-5B65-4AEA-9314-2D1250015A4A}">
    <filterColumn colId="2">
      <filters>
        <filter val="RITM0103879"/>
      </filters>
    </filterColumn>
    <sortState xmlns:xlrd2="http://schemas.microsoft.com/office/spreadsheetml/2017/richdata2" ref="A2:E354">
      <sortCondition ref="A1:A344"/>
    </sortState>
  </autoFilter>
  <mergeCells count="1">
    <mergeCell ref="F1:F75"/>
  </mergeCells>
  <conditionalFormatting sqref="D1:D4">
    <cfRule type="containsText" dxfId="23" priority="13" operator="containsText" text="ESTOQUE OK">
      <formula>NOT(ISERROR(SEARCH("ESTOQUE OK",D1)))</formula>
    </cfRule>
    <cfRule type="containsText" dxfId="22" priority="14" operator="containsText" text="NECESSITA REPOSIÇÃO">
      <formula>NOT(ISERROR(SEARCH("NECESSITA REPOSIÇÃO",D1)))</formula>
    </cfRule>
  </conditionalFormatting>
  <conditionalFormatting sqref="D9:D11">
    <cfRule type="containsText" dxfId="21" priority="11" operator="containsText" text="ESTOQUE OK">
      <formula>NOT(ISERROR(SEARCH("ESTOQUE OK",D9)))</formula>
    </cfRule>
    <cfRule type="containsText" dxfId="20" priority="12" operator="containsText" text="NECESSITA REPOSIÇÃO">
      <formula>NOT(ISERROR(SEARCH("NECESSITA REPOSIÇÃO",D9)))</formula>
    </cfRule>
  </conditionalFormatting>
  <conditionalFormatting sqref="D24">
    <cfRule type="containsText" dxfId="19" priority="9" operator="containsText" text="ESTOQUE OK">
      <formula>NOT(ISERROR(SEARCH("ESTOQUE OK",D24)))</formula>
    </cfRule>
    <cfRule type="containsText" dxfId="18" priority="10" operator="containsText" text="NECESSITA REPOSIÇÃO">
      <formula>NOT(ISERROR(SEARCH("NECESSITA REPOSIÇÃO",D24)))</formula>
    </cfRule>
  </conditionalFormatting>
  <conditionalFormatting sqref="D35:D36">
    <cfRule type="containsText" dxfId="17" priority="7" operator="containsText" text="ESTOQUE OK">
      <formula>NOT(ISERROR(SEARCH("ESTOQUE OK",D35)))</formula>
    </cfRule>
    <cfRule type="containsText" dxfId="16" priority="8" operator="containsText" text="NECESSITA REPOSIÇÃO">
      <formula>NOT(ISERROR(SEARCH("NECESSITA REPOSIÇÃO",D35)))</formula>
    </cfRule>
  </conditionalFormatting>
  <conditionalFormatting sqref="D70:D71">
    <cfRule type="containsText" dxfId="15" priority="3" operator="containsText" text="ESTOQUE OK">
      <formula>NOT(ISERROR(SEARCH("ESTOQUE OK",D70)))</formula>
    </cfRule>
    <cfRule type="containsText" dxfId="14" priority="4" operator="containsText" text="NECESSITA REPOSIÇÃO">
      <formula>NOT(ISERROR(SEARCH("NECESSITA REPOSIÇÃO",D70)))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BA59-5187-478D-BB38-8D89EF340C3A}">
  <dimension ref="A1:I93"/>
  <sheetViews>
    <sheetView topLeftCell="V1" workbookViewId="0">
      <selection activeCell="V13" sqref="V13"/>
    </sheetView>
  </sheetViews>
  <sheetFormatPr defaultColWidth="8.85546875" defaultRowHeight="14.45"/>
  <cols>
    <col min="1" max="1" width="10" style="70" bestFit="1" customWidth="1"/>
    <col min="2" max="2" width="8.85546875" style="70"/>
    <col min="3" max="3" width="11.140625" style="70" bestFit="1" customWidth="1"/>
    <col min="4" max="4" width="64.28515625" style="70" bestFit="1" customWidth="1"/>
    <col min="5" max="5" width="18.85546875" style="70" bestFit="1" customWidth="1"/>
    <col min="6" max="6" width="46.5703125" style="70" bestFit="1" customWidth="1"/>
    <col min="7" max="7" width="8.85546875" style="70"/>
    <col min="8" max="8" width="12.85546875" style="70" bestFit="1" customWidth="1"/>
    <col min="9" max="9" width="13" style="70" customWidth="1"/>
    <col min="10" max="16384" width="8.85546875" style="70"/>
  </cols>
  <sheetData>
    <row r="1" spans="1:9">
      <c r="A1" s="69" t="s">
        <v>505</v>
      </c>
      <c r="B1" s="69" t="s">
        <v>506</v>
      </c>
      <c r="C1" s="69" t="s">
        <v>149</v>
      </c>
      <c r="D1" s="69" t="s">
        <v>150</v>
      </c>
      <c r="E1" s="69" t="s">
        <v>117</v>
      </c>
      <c r="F1" s="69" t="s">
        <v>151</v>
      </c>
      <c r="G1" s="69" t="s">
        <v>151</v>
      </c>
      <c r="H1" s="69" t="s">
        <v>507</v>
      </c>
      <c r="I1" s="69" t="s">
        <v>115</v>
      </c>
    </row>
    <row r="2" spans="1:9">
      <c r="A2" s="71" t="s">
        <v>508</v>
      </c>
      <c r="B2" s="71" t="s">
        <v>509</v>
      </c>
      <c r="C2" s="72">
        <v>45453</v>
      </c>
      <c r="D2" s="73" t="s">
        <v>510</v>
      </c>
      <c r="E2" s="73" t="s">
        <v>159</v>
      </c>
      <c r="F2" s="73" t="s">
        <v>511</v>
      </c>
      <c r="G2" s="73">
        <v>4</v>
      </c>
      <c r="H2" s="74">
        <v>218.06</v>
      </c>
      <c r="I2" s="74">
        <f t="shared" ref="I2:I33" si="0">H2*G2</f>
        <v>872.24</v>
      </c>
    </row>
    <row r="3" spans="1:9">
      <c r="A3" s="71" t="s">
        <v>508</v>
      </c>
      <c r="B3" s="71" t="s">
        <v>509</v>
      </c>
      <c r="C3" s="72">
        <v>45453</v>
      </c>
      <c r="D3" s="73" t="s">
        <v>510</v>
      </c>
      <c r="E3" s="75" t="s">
        <v>159</v>
      </c>
      <c r="F3" s="73" t="s">
        <v>52</v>
      </c>
      <c r="G3" s="73">
        <v>1</v>
      </c>
      <c r="H3" s="74">
        <v>17.04</v>
      </c>
      <c r="I3" s="74">
        <f t="shared" si="0"/>
        <v>17.04</v>
      </c>
    </row>
    <row r="4" spans="1:9">
      <c r="A4" s="71" t="s">
        <v>508</v>
      </c>
      <c r="B4" s="71" t="s">
        <v>509</v>
      </c>
      <c r="C4" s="72">
        <v>45456</v>
      </c>
      <c r="D4" s="73" t="s">
        <v>510</v>
      </c>
      <c r="E4" s="73" t="s">
        <v>161</v>
      </c>
      <c r="F4" s="73" t="s">
        <v>512</v>
      </c>
      <c r="G4" s="73">
        <v>1</v>
      </c>
      <c r="H4" s="74">
        <v>71.66</v>
      </c>
      <c r="I4" s="74">
        <f t="shared" si="0"/>
        <v>71.66</v>
      </c>
    </row>
    <row r="5" spans="1:9">
      <c r="A5" s="71" t="s">
        <v>508</v>
      </c>
      <c r="B5" s="71" t="s">
        <v>509</v>
      </c>
      <c r="C5" s="72">
        <v>45456</v>
      </c>
      <c r="D5" s="73" t="s">
        <v>163</v>
      </c>
      <c r="E5" s="73" t="s">
        <v>164</v>
      </c>
      <c r="F5" s="73" t="s">
        <v>513</v>
      </c>
      <c r="G5" s="73">
        <v>8</v>
      </c>
      <c r="H5" s="74">
        <v>291.07</v>
      </c>
      <c r="I5" s="74">
        <f t="shared" si="0"/>
        <v>2328.56</v>
      </c>
    </row>
    <row r="6" spans="1:9">
      <c r="A6" s="71" t="s">
        <v>508</v>
      </c>
      <c r="B6" s="71" t="s">
        <v>509</v>
      </c>
      <c r="C6" s="72">
        <v>45460</v>
      </c>
      <c r="D6" s="73" t="s">
        <v>510</v>
      </c>
      <c r="E6" s="73" t="s">
        <v>166</v>
      </c>
      <c r="F6" s="76" t="s">
        <v>514</v>
      </c>
      <c r="G6" s="73">
        <v>1</v>
      </c>
      <c r="H6" s="74">
        <v>166.43</v>
      </c>
      <c r="I6" s="74">
        <f t="shared" si="0"/>
        <v>166.43</v>
      </c>
    </row>
    <row r="7" spans="1:9">
      <c r="A7" s="71" t="s">
        <v>508</v>
      </c>
      <c r="B7" s="71" t="s">
        <v>509</v>
      </c>
      <c r="C7" s="72">
        <v>45461</v>
      </c>
      <c r="D7" s="73" t="s">
        <v>168</v>
      </c>
      <c r="E7" s="73" t="s">
        <v>169</v>
      </c>
      <c r="F7" s="73" t="s">
        <v>511</v>
      </c>
      <c r="G7" s="73">
        <v>8</v>
      </c>
      <c r="H7" s="74">
        <v>218.06</v>
      </c>
      <c r="I7" s="74">
        <f t="shared" si="0"/>
        <v>1744.48</v>
      </c>
    </row>
    <row r="8" spans="1:9">
      <c r="A8" s="71" t="s">
        <v>508</v>
      </c>
      <c r="B8" s="71" t="s">
        <v>509</v>
      </c>
      <c r="C8" s="72">
        <v>45461</v>
      </c>
      <c r="D8" s="73" t="s">
        <v>168</v>
      </c>
      <c r="E8" s="73" t="s">
        <v>169</v>
      </c>
      <c r="F8" s="76" t="s">
        <v>515</v>
      </c>
      <c r="G8" s="73">
        <v>4</v>
      </c>
      <c r="H8" s="74">
        <v>291.07</v>
      </c>
      <c r="I8" s="74">
        <f t="shared" si="0"/>
        <v>1164.28</v>
      </c>
    </row>
    <row r="9" spans="1:9">
      <c r="A9" s="71" t="s">
        <v>508</v>
      </c>
      <c r="B9" s="71" t="s">
        <v>509</v>
      </c>
      <c r="C9" s="72">
        <v>45462</v>
      </c>
      <c r="D9" s="73" t="s">
        <v>510</v>
      </c>
      <c r="E9" s="73" t="s">
        <v>170</v>
      </c>
      <c r="F9" s="73" t="s">
        <v>516</v>
      </c>
      <c r="G9" s="73">
        <v>12</v>
      </c>
      <c r="H9" s="74">
        <v>54.68</v>
      </c>
      <c r="I9" s="74">
        <f t="shared" si="0"/>
        <v>656.16</v>
      </c>
    </row>
    <row r="10" spans="1:9">
      <c r="A10" s="71" t="s">
        <v>508</v>
      </c>
      <c r="B10" s="71" t="s">
        <v>509</v>
      </c>
      <c r="C10" s="72">
        <v>45462</v>
      </c>
      <c r="D10" s="73" t="s">
        <v>510</v>
      </c>
      <c r="E10" s="73" t="s">
        <v>172</v>
      </c>
      <c r="F10" s="73" t="s">
        <v>516</v>
      </c>
      <c r="G10" s="73">
        <v>12</v>
      </c>
      <c r="H10" s="74">
        <v>54.68</v>
      </c>
      <c r="I10" s="74">
        <f t="shared" si="0"/>
        <v>656.16</v>
      </c>
    </row>
    <row r="11" spans="1:9">
      <c r="A11" s="71" t="s">
        <v>508</v>
      </c>
      <c r="B11" s="71" t="s">
        <v>509</v>
      </c>
      <c r="C11" s="72">
        <v>45463</v>
      </c>
      <c r="D11" s="73" t="s">
        <v>510</v>
      </c>
      <c r="E11" s="73" t="s">
        <v>173</v>
      </c>
      <c r="F11" s="73" t="s">
        <v>516</v>
      </c>
      <c r="G11" s="73">
        <v>2</v>
      </c>
      <c r="H11" s="74">
        <v>54.68</v>
      </c>
      <c r="I11" s="74">
        <f t="shared" si="0"/>
        <v>109.36</v>
      </c>
    </row>
    <row r="12" spans="1:9">
      <c r="A12" s="71" t="s">
        <v>508</v>
      </c>
      <c r="B12" s="71" t="s">
        <v>509</v>
      </c>
      <c r="C12" s="72">
        <v>45464</v>
      </c>
      <c r="D12" s="73" t="s">
        <v>517</v>
      </c>
      <c r="E12" s="73" t="s">
        <v>175</v>
      </c>
      <c r="F12" s="76" t="s">
        <v>518</v>
      </c>
      <c r="G12" s="73">
        <v>2</v>
      </c>
      <c r="H12" s="74">
        <v>244.61</v>
      </c>
      <c r="I12" s="74">
        <f t="shared" si="0"/>
        <v>489.22</v>
      </c>
    </row>
    <row r="13" spans="1:9">
      <c r="A13" s="71" t="s">
        <v>508</v>
      </c>
      <c r="B13" s="71" t="s">
        <v>509</v>
      </c>
      <c r="C13" s="72">
        <v>45464</v>
      </c>
      <c r="D13" s="73" t="s">
        <v>517</v>
      </c>
      <c r="E13" s="73" t="s">
        <v>175</v>
      </c>
      <c r="F13" s="76" t="s">
        <v>519</v>
      </c>
      <c r="G13" s="73">
        <v>2</v>
      </c>
      <c r="H13" s="74">
        <v>299.98</v>
      </c>
      <c r="I13" s="74">
        <f t="shared" si="0"/>
        <v>599.96</v>
      </c>
    </row>
    <row r="14" spans="1:9">
      <c r="A14" s="71" t="s">
        <v>508</v>
      </c>
      <c r="B14" s="71" t="s">
        <v>509</v>
      </c>
      <c r="C14" s="72">
        <v>45468</v>
      </c>
      <c r="D14" s="73" t="s">
        <v>163</v>
      </c>
      <c r="E14" s="77" t="s">
        <v>164</v>
      </c>
      <c r="F14" s="76" t="s">
        <v>520</v>
      </c>
      <c r="G14" s="73">
        <v>8</v>
      </c>
      <c r="H14" s="74">
        <v>317.05</v>
      </c>
      <c r="I14" s="74">
        <f t="shared" si="0"/>
        <v>2536.4</v>
      </c>
    </row>
    <row r="15" spans="1:9">
      <c r="A15" s="71" t="s">
        <v>521</v>
      </c>
      <c r="B15" s="71" t="s">
        <v>509</v>
      </c>
      <c r="C15" s="72">
        <v>45477</v>
      </c>
      <c r="D15" s="73" t="s">
        <v>163</v>
      </c>
      <c r="E15" s="73" t="s">
        <v>179</v>
      </c>
      <c r="F15" s="76" t="s">
        <v>522</v>
      </c>
      <c r="G15" s="73">
        <v>3</v>
      </c>
      <c r="H15" s="74">
        <v>272.83</v>
      </c>
      <c r="I15" s="74">
        <f t="shared" si="0"/>
        <v>818.49</v>
      </c>
    </row>
    <row r="16" spans="1:9">
      <c r="A16" s="71" t="s">
        <v>521</v>
      </c>
      <c r="B16" s="71" t="s">
        <v>509</v>
      </c>
      <c r="C16" s="72">
        <v>45477</v>
      </c>
      <c r="D16" s="73" t="s">
        <v>163</v>
      </c>
      <c r="E16" s="73" t="s">
        <v>179</v>
      </c>
      <c r="F16" s="76" t="s">
        <v>523</v>
      </c>
      <c r="G16" s="73">
        <v>5</v>
      </c>
      <c r="H16" s="74">
        <v>218.06</v>
      </c>
      <c r="I16" s="74">
        <f t="shared" si="0"/>
        <v>1090.3</v>
      </c>
    </row>
    <row r="17" spans="1:9">
      <c r="A17" s="71" t="s">
        <v>521</v>
      </c>
      <c r="B17" s="71" t="s">
        <v>509</v>
      </c>
      <c r="C17" s="72">
        <v>45477</v>
      </c>
      <c r="D17" s="73" t="s">
        <v>163</v>
      </c>
      <c r="E17" s="73" t="s">
        <v>181</v>
      </c>
      <c r="F17" s="76" t="s">
        <v>524</v>
      </c>
      <c r="G17" s="73">
        <v>1</v>
      </c>
      <c r="H17" s="74">
        <v>244.61</v>
      </c>
      <c r="I17" s="74">
        <f t="shared" si="0"/>
        <v>244.61</v>
      </c>
    </row>
    <row r="18" spans="1:9">
      <c r="A18" s="71" t="s">
        <v>521</v>
      </c>
      <c r="B18" s="71" t="s">
        <v>509</v>
      </c>
      <c r="C18" s="72">
        <v>45477</v>
      </c>
      <c r="D18" s="73" t="s">
        <v>510</v>
      </c>
      <c r="E18" s="73" t="s">
        <v>181</v>
      </c>
      <c r="F18" s="76" t="s">
        <v>524</v>
      </c>
      <c r="G18" s="73">
        <v>1</v>
      </c>
      <c r="H18" s="74">
        <v>244.61</v>
      </c>
      <c r="I18" s="74">
        <f t="shared" si="0"/>
        <v>244.61</v>
      </c>
    </row>
    <row r="19" spans="1:9">
      <c r="A19" s="71" t="s">
        <v>521</v>
      </c>
      <c r="B19" s="71" t="s">
        <v>509</v>
      </c>
      <c r="C19" s="72">
        <v>45477</v>
      </c>
      <c r="D19" s="73" t="s">
        <v>510</v>
      </c>
      <c r="E19" s="73" t="s">
        <v>183</v>
      </c>
      <c r="F19" s="76" t="s">
        <v>525</v>
      </c>
      <c r="G19" s="73">
        <v>1</v>
      </c>
      <c r="H19" s="74">
        <v>300.38</v>
      </c>
      <c r="I19" s="74">
        <f t="shared" si="0"/>
        <v>300.38</v>
      </c>
    </row>
    <row r="20" spans="1:9">
      <c r="A20" s="71" t="s">
        <v>521</v>
      </c>
      <c r="B20" s="71" t="s">
        <v>509</v>
      </c>
      <c r="C20" s="72">
        <v>45488</v>
      </c>
      <c r="D20" s="73" t="s">
        <v>163</v>
      </c>
      <c r="E20" s="73" t="s">
        <v>185</v>
      </c>
      <c r="F20" s="76" t="s">
        <v>514</v>
      </c>
      <c r="G20" s="73">
        <v>1</v>
      </c>
      <c r="H20" s="74">
        <v>166.43</v>
      </c>
      <c r="I20" s="74">
        <f t="shared" si="0"/>
        <v>166.43</v>
      </c>
    </row>
    <row r="21" spans="1:9">
      <c r="A21" s="71" t="s">
        <v>521</v>
      </c>
      <c r="B21" s="71" t="s">
        <v>509</v>
      </c>
      <c r="C21" s="72">
        <v>45488</v>
      </c>
      <c r="D21" s="73" t="s">
        <v>163</v>
      </c>
      <c r="E21" s="73" t="s">
        <v>185</v>
      </c>
      <c r="F21" s="76" t="s">
        <v>526</v>
      </c>
      <c r="G21" s="73">
        <v>1</v>
      </c>
      <c r="H21" s="74">
        <v>276.08</v>
      </c>
      <c r="I21" s="74">
        <f t="shared" si="0"/>
        <v>276.08</v>
      </c>
    </row>
    <row r="22" spans="1:9">
      <c r="A22" s="71" t="s">
        <v>521</v>
      </c>
      <c r="B22" s="71" t="s">
        <v>509</v>
      </c>
      <c r="C22" s="72">
        <v>45488</v>
      </c>
      <c r="D22" s="73" t="s">
        <v>163</v>
      </c>
      <c r="E22" s="73" t="s">
        <v>185</v>
      </c>
      <c r="F22" s="78" t="s">
        <v>156</v>
      </c>
      <c r="G22" s="73">
        <v>1</v>
      </c>
      <c r="H22" s="74">
        <v>46.59</v>
      </c>
      <c r="I22" s="74">
        <f t="shared" si="0"/>
        <v>46.59</v>
      </c>
    </row>
    <row r="23" spans="1:9">
      <c r="A23" s="71" t="s">
        <v>521</v>
      </c>
      <c r="B23" s="71" t="s">
        <v>509</v>
      </c>
      <c r="C23" s="72">
        <v>45489</v>
      </c>
      <c r="D23" s="73" t="s">
        <v>163</v>
      </c>
      <c r="E23" s="73" t="s">
        <v>188</v>
      </c>
      <c r="F23" s="79" t="s">
        <v>49</v>
      </c>
      <c r="G23" s="73">
        <v>2</v>
      </c>
      <c r="H23" s="74">
        <v>250.14</v>
      </c>
      <c r="I23" s="74">
        <f t="shared" si="0"/>
        <v>500.28</v>
      </c>
    </row>
    <row r="24" spans="1:9">
      <c r="A24" s="71" t="s">
        <v>521</v>
      </c>
      <c r="B24" s="71" t="s">
        <v>509</v>
      </c>
      <c r="C24" s="72">
        <v>45497</v>
      </c>
      <c r="D24" s="73" t="s">
        <v>163</v>
      </c>
      <c r="E24" s="73" t="s">
        <v>189</v>
      </c>
      <c r="F24" s="73" t="s">
        <v>527</v>
      </c>
      <c r="G24" s="73">
        <v>4</v>
      </c>
      <c r="H24" s="74">
        <v>135.91999999999999</v>
      </c>
      <c r="I24" s="74">
        <f t="shared" si="0"/>
        <v>543.67999999999995</v>
      </c>
    </row>
    <row r="25" spans="1:9">
      <c r="A25" s="71" t="s">
        <v>521</v>
      </c>
      <c r="B25" s="71" t="s">
        <v>509</v>
      </c>
      <c r="C25" s="72">
        <v>45497</v>
      </c>
      <c r="D25" s="73" t="s">
        <v>163</v>
      </c>
      <c r="E25" s="73" t="s">
        <v>191</v>
      </c>
      <c r="F25" s="73" t="s">
        <v>512</v>
      </c>
      <c r="G25" s="73">
        <v>5</v>
      </c>
      <c r="H25" s="74">
        <v>71.66</v>
      </c>
      <c r="I25" s="74">
        <f t="shared" si="0"/>
        <v>358.29999999999995</v>
      </c>
    </row>
    <row r="26" spans="1:9">
      <c r="A26" s="71" t="s">
        <v>521</v>
      </c>
      <c r="B26" s="71" t="s">
        <v>509</v>
      </c>
      <c r="C26" s="72">
        <v>45498</v>
      </c>
      <c r="D26" s="73" t="s">
        <v>517</v>
      </c>
      <c r="E26" s="73" t="s">
        <v>192</v>
      </c>
      <c r="F26" s="76" t="s">
        <v>518</v>
      </c>
      <c r="G26" s="73">
        <v>1</v>
      </c>
      <c r="H26" s="74">
        <v>244.61</v>
      </c>
      <c r="I26" s="74">
        <f t="shared" si="0"/>
        <v>244.61</v>
      </c>
    </row>
    <row r="27" spans="1:9">
      <c r="A27" s="71" t="s">
        <v>521</v>
      </c>
      <c r="B27" s="71" t="s">
        <v>509</v>
      </c>
      <c r="C27" s="72">
        <v>45498</v>
      </c>
      <c r="D27" s="73" t="s">
        <v>517</v>
      </c>
      <c r="E27" s="73" t="s">
        <v>192</v>
      </c>
      <c r="F27" s="76" t="s">
        <v>519</v>
      </c>
      <c r="G27" s="73">
        <v>1</v>
      </c>
      <c r="H27" s="74">
        <v>299.98</v>
      </c>
      <c r="I27" s="74">
        <f t="shared" si="0"/>
        <v>299.98</v>
      </c>
    </row>
    <row r="28" spans="1:9">
      <c r="A28" s="71" t="s">
        <v>528</v>
      </c>
      <c r="B28" s="71" t="s">
        <v>509</v>
      </c>
      <c r="C28" s="72">
        <v>45513</v>
      </c>
      <c r="D28" s="73" t="s">
        <v>163</v>
      </c>
      <c r="E28" s="73" t="s">
        <v>197</v>
      </c>
      <c r="F28" s="76" t="s">
        <v>523</v>
      </c>
      <c r="G28" s="73">
        <v>2</v>
      </c>
      <c r="H28" s="74">
        <v>218.06</v>
      </c>
      <c r="I28" s="74">
        <f t="shared" si="0"/>
        <v>436.12</v>
      </c>
    </row>
    <row r="29" spans="1:9">
      <c r="A29" s="71" t="s">
        <v>528</v>
      </c>
      <c r="B29" s="71" t="s">
        <v>509</v>
      </c>
      <c r="C29" s="72">
        <v>45514</v>
      </c>
      <c r="D29" s="73" t="s">
        <v>163</v>
      </c>
      <c r="E29" s="73" t="s">
        <v>197</v>
      </c>
      <c r="F29" s="76" t="s">
        <v>529</v>
      </c>
      <c r="G29" s="73">
        <v>4</v>
      </c>
      <c r="H29" s="74">
        <v>183.19</v>
      </c>
      <c r="I29" s="74">
        <f t="shared" si="0"/>
        <v>732.76</v>
      </c>
    </row>
    <row r="30" spans="1:9">
      <c r="A30" s="71" t="s">
        <v>528</v>
      </c>
      <c r="B30" s="71" t="s">
        <v>509</v>
      </c>
      <c r="C30" s="72">
        <v>45514</v>
      </c>
      <c r="D30" s="73" t="s">
        <v>163</v>
      </c>
      <c r="E30" s="73" t="s">
        <v>197</v>
      </c>
      <c r="F30" s="76" t="s">
        <v>530</v>
      </c>
      <c r="G30" s="73">
        <v>2</v>
      </c>
      <c r="H30" s="74">
        <v>276.08</v>
      </c>
      <c r="I30" s="74">
        <f t="shared" si="0"/>
        <v>552.16</v>
      </c>
    </row>
    <row r="31" spans="1:9">
      <c r="A31" s="71" t="s">
        <v>528</v>
      </c>
      <c r="B31" s="71" t="s">
        <v>509</v>
      </c>
      <c r="C31" s="72">
        <v>45514</v>
      </c>
      <c r="D31" s="73" t="s">
        <v>163</v>
      </c>
      <c r="E31" s="73" t="s">
        <v>197</v>
      </c>
      <c r="F31" s="78" t="s">
        <v>156</v>
      </c>
      <c r="G31" s="73">
        <v>1</v>
      </c>
      <c r="H31" s="74">
        <v>46.59</v>
      </c>
      <c r="I31" s="74">
        <f t="shared" si="0"/>
        <v>46.59</v>
      </c>
    </row>
    <row r="32" spans="1:9">
      <c r="A32" s="71" t="s">
        <v>528</v>
      </c>
      <c r="B32" s="71" t="s">
        <v>509</v>
      </c>
      <c r="C32" s="72">
        <v>45514</v>
      </c>
      <c r="D32" s="73" t="s">
        <v>163</v>
      </c>
      <c r="E32" s="73" t="s">
        <v>200</v>
      </c>
      <c r="F32" s="73" t="s">
        <v>531</v>
      </c>
      <c r="G32" s="73">
        <v>1</v>
      </c>
      <c r="H32" s="74">
        <v>36.5</v>
      </c>
      <c r="I32" s="74">
        <f t="shared" si="0"/>
        <v>36.5</v>
      </c>
    </row>
    <row r="33" spans="1:9">
      <c r="A33" s="71" t="s">
        <v>528</v>
      </c>
      <c r="B33" s="71" t="s">
        <v>509</v>
      </c>
      <c r="C33" s="72">
        <v>45514</v>
      </c>
      <c r="D33" s="73" t="s">
        <v>163</v>
      </c>
      <c r="E33" s="73" t="s">
        <v>200</v>
      </c>
      <c r="F33" s="73" t="s">
        <v>527</v>
      </c>
      <c r="G33" s="73">
        <v>1</v>
      </c>
      <c r="H33" s="74">
        <v>135.91999999999999</v>
      </c>
      <c r="I33" s="74">
        <f t="shared" si="0"/>
        <v>135.91999999999999</v>
      </c>
    </row>
    <row r="34" spans="1:9">
      <c r="A34" s="71" t="s">
        <v>528</v>
      </c>
      <c r="B34" s="71" t="s">
        <v>509</v>
      </c>
      <c r="C34" s="72">
        <v>45514</v>
      </c>
      <c r="D34" s="73" t="s">
        <v>163</v>
      </c>
      <c r="E34" s="73" t="s">
        <v>200</v>
      </c>
      <c r="F34" s="76" t="s">
        <v>520</v>
      </c>
      <c r="G34" s="73">
        <v>2</v>
      </c>
      <c r="H34" s="74">
        <v>317.05</v>
      </c>
      <c r="I34" s="74">
        <f t="shared" ref="I34:I65" si="1">H34*G34</f>
        <v>634.1</v>
      </c>
    </row>
    <row r="35" spans="1:9">
      <c r="A35" s="71" t="s">
        <v>528</v>
      </c>
      <c r="B35" s="71" t="s">
        <v>509</v>
      </c>
      <c r="C35" s="72">
        <v>45517</v>
      </c>
      <c r="D35" s="73" t="s">
        <v>532</v>
      </c>
      <c r="E35" s="73" t="s">
        <v>206</v>
      </c>
      <c r="F35" s="76" t="s">
        <v>533</v>
      </c>
      <c r="G35" s="73">
        <v>1</v>
      </c>
      <c r="H35" s="74">
        <v>299.98</v>
      </c>
      <c r="I35" s="74">
        <f t="shared" si="1"/>
        <v>299.98</v>
      </c>
    </row>
    <row r="36" spans="1:9">
      <c r="A36" s="71" t="s">
        <v>528</v>
      </c>
      <c r="B36" s="71" t="s">
        <v>509</v>
      </c>
      <c r="C36" s="72">
        <v>45517</v>
      </c>
      <c r="D36" s="73" t="s">
        <v>534</v>
      </c>
      <c r="E36" s="73" t="s">
        <v>209</v>
      </c>
      <c r="F36" s="76" t="s">
        <v>518</v>
      </c>
      <c r="G36" s="73">
        <v>1</v>
      </c>
      <c r="H36" s="74">
        <v>244.61</v>
      </c>
      <c r="I36" s="74">
        <f t="shared" si="1"/>
        <v>244.61</v>
      </c>
    </row>
    <row r="37" spans="1:9">
      <c r="A37" s="71" t="s">
        <v>528</v>
      </c>
      <c r="B37" s="71" t="s">
        <v>509</v>
      </c>
      <c r="C37" s="72">
        <v>45517</v>
      </c>
      <c r="D37" s="73" t="s">
        <v>534</v>
      </c>
      <c r="E37" s="73" t="s">
        <v>209</v>
      </c>
      <c r="F37" s="76" t="s">
        <v>535</v>
      </c>
      <c r="G37" s="73">
        <v>1</v>
      </c>
      <c r="H37" s="74">
        <v>203.71</v>
      </c>
      <c r="I37" s="74">
        <f t="shared" si="1"/>
        <v>203.71</v>
      </c>
    </row>
    <row r="38" spans="1:9">
      <c r="A38" s="71" t="s">
        <v>528</v>
      </c>
      <c r="B38" s="71" t="s">
        <v>509</v>
      </c>
      <c r="C38" s="72">
        <v>45517</v>
      </c>
      <c r="D38" s="73" t="s">
        <v>534</v>
      </c>
      <c r="E38" s="73" t="s">
        <v>209</v>
      </c>
      <c r="F38" s="78" t="s">
        <v>156</v>
      </c>
      <c r="G38" s="73">
        <v>1</v>
      </c>
      <c r="H38" s="74">
        <v>46.59</v>
      </c>
      <c r="I38" s="74">
        <f t="shared" si="1"/>
        <v>46.59</v>
      </c>
    </row>
    <row r="39" spans="1:9">
      <c r="A39" s="71" t="s">
        <v>528</v>
      </c>
      <c r="B39" s="71" t="s">
        <v>509</v>
      </c>
      <c r="C39" s="72">
        <v>45518</v>
      </c>
      <c r="D39" s="73" t="s">
        <v>163</v>
      </c>
      <c r="E39" s="73" t="s">
        <v>211</v>
      </c>
      <c r="F39" s="73" t="s">
        <v>516</v>
      </c>
      <c r="G39" s="73">
        <v>1</v>
      </c>
      <c r="H39" s="74">
        <v>54.68</v>
      </c>
      <c r="I39" s="74">
        <f t="shared" si="1"/>
        <v>54.68</v>
      </c>
    </row>
    <row r="40" spans="1:9">
      <c r="A40" s="71" t="s">
        <v>528</v>
      </c>
      <c r="B40" s="71" t="s">
        <v>509</v>
      </c>
      <c r="C40" s="72">
        <v>45518</v>
      </c>
      <c r="D40" s="73" t="s">
        <v>536</v>
      </c>
      <c r="E40" s="73" t="s">
        <v>214</v>
      </c>
      <c r="F40" s="76" t="s">
        <v>537</v>
      </c>
      <c r="G40" s="73">
        <v>1</v>
      </c>
      <c r="H40" s="74">
        <v>191.93</v>
      </c>
      <c r="I40" s="74">
        <f t="shared" si="1"/>
        <v>191.93</v>
      </c>
    </row>
    <row r="41" spans="1:9">
      <c r="A41" s="71" t="s">
        <v>528</v>
      </c>
      <c r="B41" s="71" t="s">
        <v>509</v>
      </c>
      <c r="C41" s="72">
        <v>45518</v>
      </c>
      <c r="D41" s="73" t="s">
        <v>536</v>
      </c>
      <c r="E41" s="73" t="s">
        <v>214</v>
      </c>
      <c r="F41" s="76" t="s">
        <v>518</v>
      </c>
      <c r="G41" s="73">
        <v>1</v>
      </c>
      <c r="H41" s="74">
        <v>244.61</v>
      </c>
      <c r="I41" s="74">
        <f t="shared" si="1"/>
        <v>244.61</v>
      </c>
    </row>
    <row r="42" spans="1:9">
      <c r="A42" s="71" t="s">
        <v>528</v>
      </c>
      <c r="B42" s="71" t="s">
        <v>509</v>
      </c>
      <c r="C42" s="72">
        <v>45518</v>
      </c>
      <c r="D42" s="73" t="s">
        <v>536</v>
      </c>
      <c r="E42" s="73" t="s">
        <v>214</v>
      </c>
      <c r="F42" s="73" t="s">
        <v>216</v>
      </c>
      <c r="G42" s="73">
        <v>1</v>
      </c>
      <c r="H42" s="74">
        <v>206.51</v>
      </c>
      <c r="I42" s="74">
        <f t="shared" si="1"/>
        <v>206.51</v>
      </c>
    </row>
    <row r="43" spans="1:9">
      <c r="A43" s="71" t="s">
        <v>528</v>
      </c>
      <c r="B43" s="71" t="s">
        <v>509</v>
      </c>
      <c r="C43" s="72">
        <v>45518</v>
      </c>
      <c r="D43" s="73" t="s">
        <v>538</v>
      </c>
      <c r="E43" s="73" t="s">
        <v>218</v>
      </c>
      <c r="F43" s="76" t="s">
        <v>518</v>
      </c>
      <c r="G43" s="73">
        <v>1</v>
      </c>
      <c r="H43" s="74">
        <v>244.61</v>
      </c>
      <c r="I43" s="74">
        <f t="shared" si="1"/>
        <v>244.61</v>
      </c>
    </row>
    <row r="44" spans="1:9">
      <c r="A44" s="71" t="s">
        <v>528</v>
      </c>
      <c r="B44" s="71" t="s">
        <v>509</v>
      </c>
      <c r="C44" s="72">
        <v>45518</v>
      </c>
      <c r="D44" s="73" t="s">
        <v>539</v>
      </c>
      <c r="E44" s="73" t="s">
        <v>200</v>
      </c>
      <c r="F44" s="73" t="s">
        <v>540</v>
      </c>
      <c r="G44" s="73">
        <v>1</v>
      </c>
      <c r="H44" s="74">
        <v>246.05</v>
      </c>
      <c r="I44" s="74">
        <f t="shared" si="1"/>
        <v>246.05</v>
      </c>
    </row>
    <row r="45" spans="1:9">
      <c r="A45" s="71" t="s">
        <v>528</v>
      </c>
      <c r="B45" s="71" t="s">
        <v>509</v>
      </c>
      <c r="C45" s="72">
        <v>45519</v>
      </c>
      <c r="D45" s="73" t="s">
        <v>163</v>
      </c>
      <c r="E45" s="73" t="s">
        <v>220</v>
      </c>
      <c r="F45" s="76" t="s">
        <v>518</v>
      </c>
      <c r="G45" s="73">
        <v>4</v>
      </c>
      <c r="H45" s="74">
        <v>244.61</v>
      </c>
      <c r="I45" s="74">
        <f t="shared" si="1"/>
        <v>978.44</v>
      </c>
    </row>
    <row r="46" spans="1:9">
      <c r="A46" s="71" t="s">
        <v>528</v>
      </c>
      <c r="B46" s="71" t="s">
        <v>509</v>
      </c>
      <c r="C46" s="72">
        <v>45519</v>
      </c>
      <c r="D46" s="73" t="s">
        <v>163</v>
      </c>
      <c r="E46" s="73" t="s">
        <v>220</v>
      </c>
      <c r="F46" s="73" t="s">
        <v>52</v>
      </c>
      <c r="G46" s="73">
        <v>1</v>
      </c>
      <c r="H46" s="74">
        <v>17.04</v>
      </c>
      <c r="I46" s="74">
        <f t="shared" si="1"/>
        <v>17.04</v>
      </c>
    </row>
    <row r="47" spans="1:9">
      <c r="A47" s="71" t="s">
        <v>528</v>
      </c>
      <c r="B47" s="71" t="s">
        <v>509</v>
      </c>
      <c r="C47" s="72">
        <v>45520</v>
      </c>
      <c r="D47" s="73" t="s">
        <v>510</v>
      </c>
      <c r="E47" s="73" t="s">
        <v>223</v>
      </c>
      <c r="F47" s="79" t="s">
        <v>49</v>
      </c>
      <c r="G47" s="73">
        <v>1</v>
      </c>
      <c r="H47" s="74">
        <v>250.14</v>
      </c>
      <c r="I47" s="74">
        <f t="shared" si="1"/>
        <v>250.14</v>
      </c>
    </row>
    <row r="48" spans="1:9">
      <c r="A48" s="71" t="s">
        <v>528</v>
      </c>
      <c r="B48" s="71" t="s">
        <v>509</v>
      </c>
      <c r="C48" s="72">
        <v>45520</v>
      </c>
      <c r="D48" s="73" t="s">
        <v>510</v>
      </c>
      <c r="E48" s="73" t="s">
        <v>223</v>
      </c>
      <c r="F48" s="73" t="s">
        <v>540</v>
      </c>
      <c r="G48" s="73">
        <v>1</v>
      </c>
      <c r="H48" s="74">
        <v>246.05</v>
      </c>
      <c r="I48" s="74">
        <f t="shared" si="1"/>
        <v>246.05</v>
      </c>
    </row>
    <row r="49" spans="1:9">
      <c r="A49" s="71" t="s">
        <v>528</v>
      </c>
      <c r="B49" s="71" t="s">
        <v>509</v>
      </c>
      <c r="C49" s="72">
        <v>45523</v>
      </c>
      <c r="D49" s="73" t="s">
        <v>510</v>
      </c>
      <c r="E49" s="73" t="s">
        <v>224</v>
      </c>
      <c r="F49" s="76" t="s">
        <v>526</v>
      </c>
      <c r="G49" s="73">
        <v>6</v>
      </c>
      <c r="H49" s="74">
        <v>276.08</v>
      </c>
      <c r="I49" s="74">
        <f t="shared" si="1"/>
        <v>1656.48</v>
      </c>
    </row>
    <row r="50" spans="1:9">
      <c r="A50" s="71" t="s">
        <v>528</v>
      </c>
      <c r="B50" s="71" t="s">
        <v>509</v>
      </c>
      <c r="C50" s="72">
        <v>45523</v>
      </c>
      <c r="D50" s="73" t="s">
        <v>510</v>
      </c>
      <c r="E50" s="73" t="s">
        <v>224</v>
      </c>
      <c r="F50" s="76" t="s">
        <v>529</v>
      </c>
      <c r="G50" s="73">
        <v>6</v>
      </c>
      <c r="H50" s="74">
        <v>183.19</v>
      </c>
      <c r="I50" s="74">
        <f t="shared" si="1"/>
        <v>1099.1399999999999</v>
      </c>
    </row>
    <row r="51" spans="1:9">
      <c r="A51" s="71" t="s">
        <v>528</v>
      </c>
      <c r="B51" s="71" t="s">
        <v>509</v>
      </c>
      <c r="C51" s="72">
        <v>45523</v>
      </c>
      <c r="D51" s="73" t="s">
        <v>510</v>
      </c>
      <c r="E51" s="73" t="s">
        <v>224</v>
      </c>
      <c r="F51" s="76" t="s">
        <v>514</v>
      </c>
      <c r="G51" s="73">
        <v>6</v>
      </c>
      <c r="H51" s="74">
        <v>166.43</v>
      </c>
      <c r="I51" s="74">
        <f t="shared" si="1"/>
        <v>998.58</v>
      </c>
    </row>
    <row r="52" spans="1:9">
      <c r="A52" s="71" t="s">
        <v>528</v>
      </c>
      <c r="B52" s="71" t="s">
        <v>509</v>
      </c>
      <c r="C52" s="72">
        <v>45523</v>
      </c>
      <c r="D52" s="73" t="s">
        <v>536</v>
      </c>
      <c r="E52" s="73"/>
      <c r="F52" s="76" t="s">
        <v>529</v>
      </c>
      <c r="G52" s="73">
        <v>1</v>
      </c>
      <c r="H52" s="74">
        <v>183.19</v>
      </c>
      <c r="I52" s="74">
        <f t="shared" si="1"/>
        <v>183.19</v>
      </c>
    </row>
    <row r="53" spans="1:9">
      <c r="A53" s="71" t="s">
        <v>528</v>
      </c>
      <c r="B53" s="71" t="s">
        <v>509</v>
      </c>
      <c r="C53" s="72">
        <v>45524</v>
      </c>
      <c r="D53" s="73" t="s">
        <v>538</v>
      </c>
      <c r="E53" s="73" t="s">
        <v>218</v>
      </c>
      <c r="F53" s="76" t="s">
        <v>525</v>
      </c>
      <c r="G53" s="73">
        <v>1</v>
      </c>
      <c r="H53" s="74">
        <v>300.38</v>
      </c>
      <c r="I53" s="74">
        <f t="shared" si="1"/>
        <v>300.38</v>
      </c>
    </row>
    <row r="54" spans="1:9">
      <c r="A54" s="71" t="s">
        <v>528</v>
      </c>
      <c r="B54" s="71" t="s">
        <v>509</v>
      </c>
      <c r="C54" s="72">
        <v>45524</v>
      </c>
      <c r="D54" s="73" t="s">
        <v>538</v>
      </c>
      <c r="E54" s="73" t="s">
        <v>218</v>
      </c>
      <c r="F54" s="78" t="s">
        <v>156</v>
      </c>
      <c r="G54" s="73">
        <v>1</v>
      </c>
      <c r="H54" s="74">
        <v>46.59</v>
      </c>
      <c r="I54" s="74">
        <f t="shared" si="1"/>
        <v>46.59</v>
      </c>
    </row>
    <row r="55" spans="1:9">
      <c r="A55" s="71" t="s">
        <v>528</v>
      </c>
      <c r="B55" s="71" t="s">
        <v>509</v>
      </c>
      <c r="C55" s="72">
        <v>45532</v>
      </c>
      <c r="D55" s="73" t="s">
        <v>510</v>
      </c>
      <c r="E55" s="73" t="s">
        <v>218</v>
      </c>
      <c r="F55" s="73" t="s">
        <v>47</v>
      </c>
      <c r="G55" s="73">
        <v>1</v>
      </c>
      <c r="H55" s="74">
        <v>138</v>
      </c>
      <c r="I55" s="74">
        <f t="shared" si="1"/>
        <v>138</v>
      </c>
    </row>
    <row r="56" spans="1:9">
      <c r="A56" s="71" t="s">
        <v>541</v>
      </c>
      <c r="B56" s="71" t="s">
        <v>509</v>
      </c>
      <c r="C56" s="72">
        <v>45538</v>
      </c>
      <c r="D56" s="73" t="s">
        <v>517</v>
      </c>
      <c r="E56" s="73" t="s">
        <v>233</v>
      </c>
      <c r="F56" s="73" t="s">
        <v>540</v>
      </c>
      <c r="G56" s="73">
        <v>2</v>
      </c>
      <c r="H56" s="74">
        <v>246.05</v>
      </c>
      <c r="I56" s="74">
        <f t="shared" si="1"/>
        <v>492.1</v>
      </c>
    </row>
    <row r="57" spans="1:9">
      <c r="A57" s="71" t="s">
        <v>541</v>
      </c>
      <c r="B57" s="71" t="s">
        <v>509</v>
      </c>
      <c r="C57" s="72">
        <v>45538</v>
      </c>
      <c r="D57" s="73" t="s">
        <v>517</v>
      </c>
      <c r="E57" s="73" t="s">
        <v>233</v>
      </c>
      <c r="F57" s="76" t="s">
        <v>518</v>
      </c>
      <c r="G57" s="73">
        <v>1</v>
      </c>
      <c r="H57" s="74">
        <v>244.61</v>
      </c>
      <c r="I57" s="74">
        <f t="shared" si="1"/>
        <v>244.61</v>
      </c>
    </row>
    <row r="58" spans="1:9">
      <c r="A58" s="71" t="s">
        <v>541</v>
      </c>
      <c r="B58" s="71" t="s">
        <v>509</v>
      </c>
      <c r="C58" s="72">
        <v>45538</v>
      </c>
      <c r="D58" s="73" t="s">
        <v>517</v>
      </c>
      <c r="E58" s="73" t="s">
        <v>233</v>
      </c>
      <c r="F58" s="78" t="s">
        <v>156</v>
      </c>
      <c r="G58" s="73">
        <v>2</v>
      </c>
      <c r="H58" s="74">
        <v>46.59</v>
      </c>
      <c r="I58" s="74">
        <f t="shared" si="1"/>
        <v>93.18</v>
      </c>
    </row>
    <row r="59" spans="1:9">
      <c r="A59" s="71" t="s">
        <v>541</v>
      </c>
      <c r="B59" s="71" t="s">
        <v>509</v>
      </c>
      <c r="C59" s="72">
        <v>45538</v>
      </c>
      <c r="D59" s="73" t="s">
        <v>510</v>
      </c>
      <c r="E59" s="73" t="s">
        <v>234</v>
      </c>
      <c r="F59" s="76" t="s">
        <v>535</v>
      </c>
      <c r="G59" s="73">
        <v>1</v>
      </c>
      <c r="H59" s="74">
        <v>203.71</v>
      </c>
      <c r="I59" s="74">
        <f t="shared" si="1"/>
        <v>203.71</v>
      </c>
    </row>
    <row r="60" spans="1:9">
      <c r="A60" s="71" t="s">
        <v>541</v>
      </c>
      <c r="B60" s="71" t="s">
        <v>509</v>
      </c>
      <c r="C60" s="72">
        <v>45538</v>
      </c>
      <c r="D60" s="73" t="s">
        <v>510</v>
      </c>
      <c r="E60" s="73" t="s">
        <v>234</v>
      </c>
      <c r="F60" s="76" t="s">
        <v>514</v>
      </c>
      <c r="G60" s="73">
        <v>1</v>
      </c>
      <c r="H60" s="74">
        <v>166.43</v>
      </c>
      <c r="I60" s="74">
        <f t="shared" si="1"/>
        <v>166.43</v>
      </c>
    </row>
    <row r="61" spans="1:9">
      <c r="A61" s="71" t="s">
        <v>541</v>
      </c>
      <c r="B61" s="71" t="s">
        <v>509</v>
      </c>
      <c r="C61" s="72">
        <v>45538</v>
      </c>
      <c r="D61" s="73" t="s">
        <v>510</v>
      </c>
      <c r="E61" s="73" t="s">
        <v>234</v>
      </c>
      <c r="F61" s="78" t="s">
        <v>156</v>
      </c>
      <c r="G61" s="73">
        <v>1</v>
      </c>
      <c r="H61" s="74">
        <v>46.59</v>
      </c>
      <c r="I61" s="74">
        <f t="shared" si="1"/>
        <v>46.59</v>
      </c>
    </row>
    <row r="62" spans="1:9">
      <c r="A62" s="71" t="s">
        <v>541</v>
      </c>
      <c r="B62" s="71" t="s">
        <v>509</v>
      </c>
      <c r="C62" s="72">
        <v>45544</v>
      </c>
      <c r="D62" s="73" t="s">
        <v>168</v>
      </c>
      <c r="E62" s="73" t="s">
        <v>237</v>
      </c>
      <c r="F62" s="73" t="s">
        <v>512</v>
      </c>
      <c r="G62" s="73">
        <v>3</v>
      </c>
      <c r="H62" s="74">
        <v>71.66</v>
      </c>
      <c r="I62" s="74">
        <f t="shared" si="1"/>
        <v>214.98</v>
      </c>
    </row>
    <row r="63" spans="1:9">
      <c r="A63" s="71" t="s">
        <v>541</v>
      </c>
      <c r="B63" s="71" t="s">
        <v>509</v>
      </c>
      <c r="C63" s="72">
        <v>45544</v>
      </c>
      <c r="D63" s="73" t="s">
        <v>168</v>
      </c>
      <c r="E63" s="73" t="s">
        <v>237</v>
      </c>
      <c r="F63" s="73" t="s">
        <v>516</v>
      </c>
      <c r="G63" s="73">
        <v>3</v>
      </c>
      <c r="H63" s="74">
        <v>54.68</v>
      </c>
      <c r="I63" s="74">
        <f t="shared" si="1"/>
        <v>164.04</v>
      </c>
    </row>
    <row r="64" spans="1:9">
      <c r="A64" s="71" t="s">
        <v>541</v>
      </c>
      <c r="B64" s="71" t="s">
        <v>509</v>
      </c>
      <c r="C64" s="72">
        <v>45544</v>
      </c>
      <c r="D64" s="73" t="s">
        <v>168</v>
      </c>
      <c r="E64" s="73" t="s">
        <v>237</v>
      </c>
      <c r="F64" s="76" t="s">
        <v>522</v>
      </c>
      <c r="G64" s="73">
        <v>12</v>
      </c>
      <c r="H64" s="74">
        <v>272.83</v>
      </c>
      <c r="I64" s="74">
        <f t="shared" si="1"/>
        <v>3273.96</v>
      </c>
    </row>
    <row r="65" spans="1:9">
      <c r="A65" s="71" t="s">
        <v>541</v>
      </c>
      <c r="B65" s="71" t="s">
        <v>509</v>
      </c>
      <c r="C65" s="72">
        <v>45544</v>
      </c>
      <c r="D65" s="73" t="s">
        <v>168</v>
      </c>
      <c r="E65" s="73" t="s">
        <v>237</v>
      </c>
      <c r="F65" s="76" t="s">
        <v>523</v>
      </c>
      <c r="G65" s="73">
        <v>6</v>
      </c>
      <c r="H65" s="74">
        <v>218.06</v>
      </c>
      <c r="I65" s="74">
        <f t="shared" si="1"/>
        <v>1308.3600000000001</v>
      </c>
    </row>
    <row r="66" spans="1:9">
      <c r="A66" s="71" t="s">
        <v>541</v>
      </c>
      <c r="B66" s="71" t="s">
        <v>509</v>
      </c>
      <c r="C66" s="72">
        <v>45544</v>
      </c>
      <c r="D66" s="73" t="s">
        <v>168</v>
      </c>
      <c r="E66" s="73" t="s">
        <v>237</v>
      </c>
      <c r="F66" s="76" t="s">
        <v>520</v>
      </c>
      <c r="G66" s="73">
        <v>1</v>
      </c>
      <c r="H66" s="74">
        <v>317.05</v>
      </c>
      <c r="I66" s="74">
        <f t="shared" ref="I66:I91" si="2">H66*G66</f>
        <v>317.05</v>
      </c>
    </row>
    <row r="67" spans="1:9">
      <c r="A67" s="71" t="s">
        <v>541</v>
      </c>
      <c r="B67" s="71" t="s">
        <v>509</v>
      </c>
      <c r="C67" s="72">
        <v>45544</v>
      </c>
      <c r="D67" s="73" t="s">
        <v>168</v>
      </c>
      <c r="E67" s="73" t="s">
        <v>237</v>
      </c>
      <c r="F67" s="78" t="s">
        <v>245</v>
      </c>
      <c r="G67" s="73">
        <v>2</v>
      </c>
      <c r="H67" s="74">
        <v>55.84</v>
      </c>
      <c r="I67" s="74">
        <f t="shared" si="2"/>
        <v>111.68</v>
      </c>
    </row>
    <row r="68" spans="1:9">
      <c r="A68" s="71" t="s">
        <v>541</v>
      </c>
      <c r="B68" s="71" t="s">
        <v>509</v>
      </c>
      <c r="C68" s="72">
        <v>45545</v>
      </c>
      <c r="D68" s="73" t="s">
        <v>168</v>
      </c>
      <c r="E68" s="78" t="s">
        <v>242</v>
      </c>
      <c r="F68" s="76" t="s">
        <v>522</v>
      </c>
      <c r="G68" s="80">
        <v>4</v>
      </c>
      <c r="H68" s="74">
        <v>272.83</v>
      </c>
      <c r="I68" s="74">
        <f t="shared" si="2"/>
        <v>1091.32</v>
      </c>
    </row>
    <row r="69" spans="1:9">
      <c r="A69" s="71" t="s">
        <v>541</v>
      </c>
      <c r="B69" s="71" t="s">
        <v>509</v>
      </c>
      <c r="C69" s="72">
        <v>45545</v>
      </c>
      <c r="D69" s="73" t="s">
        <v>168</v>
      </c>
      <c r="E69" s="78" t="s">
        <v>242</v>
      </c>
      <c r="F69" s="76" t="s">
        <v>523</v>
      </c>
      <c r="G69" s="73">
        <v>2</v>
      </c>
      <c r="H69" s="74">
        <v>218.06</v>
      </c>
      <c r="I69" s="74">
        <f t="shared" si="2"/>
        <v>436.12</v>
      </c>
    </row>
    <row r="70" spans="1:9">
      <c r="A70" s="71" t="s">
        <v>541</v>
      </c>
      <c r="B70" s="71" t="s">
        <v>509</v>
      </c>
      <c r="C70" s="72">
        <v>45545</v>
      </c>
      <c r="D70" s="73" t="s">
        <v>168</v>
      </c>
      <c r="E70" s="78" t="s">
        <v>242</v>
      </c>
      <c r="F70" s="76" t="s">
        <v>520</v>
      </c>
      <c r="G70" s="73">
        <v>6</v>
      </c>
      <c r="H70" s="74">
        <v>244.61</v>
      </c>
      <c r="I70" s="74">
        <f t="shared" si="2"/>
        <v>1467.66</v>
      </c>
    </row>
    <row r="71" spans="1:9">
      <c r="A71" s="71" t="s">
        <v>541</v>
      </c>
      <c r="B71" s="71" t="s">
        <v>509</v>
      </c>
      <c r="C71" s="72">
        <v>45545</v>
      </c>
      <c r="D71" s="73" t="s">
        <v>168</v>
      </c>
      <c r="E71" s="78" t="s">
        <v>242</v>
      </c>
      <c r="F71" s="78" t="s">
        <v>245</v>
      </c>
      <c r="G71" s="73">
        <v>9</v>
      </c>
      <c r="H71" s="74">
        <v>55.84</v>
      </c>
      <c r="I71" s="74">
        <f t="shared" si="2"/>
        <v>502.56000000000006</v>
      </c>
    </row>
    <row r="72" spans="1:9">
      <c r="A72" s="71" t="s">
        <v>541</v>
      </c>
      <c r="B72" s="71" t="s">
        <v>509</v>
      </c>
      <c r="C72" s="72">
        <v>45545</v>
      </c>
      <c r="D72" s="73" t="s">
        <v>168</v>
      </c>
      <c r="E72" s="78" t="s">
        <v>242</v>
      </c>
      <c r="F72" s="73" t="s">
        <v>47</v>
      </c>
      <c r="G72" s="73">
        <v>1</v>
      </c>
      <c r="H72" s="74">
        <v>138</v>
      </c>
      <c r="I72" s="74">
        <f t="shared" si="2"/>
        <v>138</v>
      </c>
    </row>
    <row r="73" spans="1:9">
      <c r="A73" s="71" t="s">
        <v>541</v>
      </c>
      <c r="B73" s="71" t="s">
        <v>509</v>
      </c>
      <c r="C73" s="72">
        <v>45545</v>
      </c>
      <c r="D73" s="73" t="s">
        <v>168</v>
      </c>
      <c r="E73" s="78" t="s">
        <v>242</v>
      </c>
      <c r="F73" s="73" t="s">
        <v>52</v>
      </c>
      <c r="G73" s="73">
        <v>1</v>
      </c>
      <c r="H73" s="74">
        <v>17.04</v>
      </c>
      <c r="I73" s="74">
        <f t="shared" si="2"/>
        <v>17.04</v>
      </c>
    </row>
    <row r="74" spans="1:9">
      <c r="A74" s="71" t="s">
        <v>541</v>
      </c>
      <c r="B74" s="71" t="s">
        <v>509</v>
      </c>
      <c r="C74" s="72">
        <v>45545</v>
      </c>
      <c r="D74" s="73" t="s">
        <v>168</v>
      </c>
      <c r="E74" s="78" t="s">
        <v>242</v>
      </c>
      <c r="F74" s="73" t="s">
        <v>540</v>
      </c>
      <c r="G74" s="73">
        <v>1</v>
      </c>
      <c r="H74" s="74">
        <v>246.05</v>
      </c>
      <c r="I74" s="74">
        <f t="shared" si="2"/>
        <v>246.05</v>
      </c>
    </row>
    <row r="75" spans="1:9">
      <c r="A75" s="71" t="s">
        <v>541</v>
      </c>
      <c r="B75" s="71" t="s">
        <v>509</v>
      </c>
      <c r="C75" s="72">
        <v>45547</v>
      </c>
      <c r="D75" s="73" t="s">
        <v>542</v>
      </c>
      <c r="E75" s="73" t="s">
        <v>248</v>
      </c>
      <c r="F75" s="76" t="s">
        <v>543</v>
      </c>
      <c r="G75" s="73">
        <v>1</v>
      </c>
      <c r="H75" s="74">
        <v>166.43</v>
      </c>
      <c r="I75" s="74">
        <f t="shared" si="2"/>
        <v>166.43</v>
      </c>
    </row>
    <row r="76" spans="1:9">
      <c r="A76" s="71" t="s">
        <v>541</v>
      </c>
      <c r="B76" s="71" t="s">
        <v>509</v>
      </c>
      <c r="C76" s="72">
        <v>45547</v>
      </c>
      <c r="D76" s="73" t="s">
        <v>542</v>
      </c>
      <c r="E76" s="73" t="s">
        <v>248</v>
      </c>
      <c r="F76" s="76" t="s">
        <v>515</v>
      </c>
      <c r="G76" s="73">
        <v>1</v>
      </c>
      <c r="H76" s="74">
        <v>203.71</v>
      </c>
      <c r="I76" s="74">
        <f t="shared" si="2"/>
        <v>203.71</v>
      </c>
    </row>
    <row r="77" spans="1:9">
      <c r="A77" s="71" t="s">
        <v>541</v>
      </c>
      <c r="B77" s="71" t="s">
        <v>509</v>
      </c>
      <c r="C77" s="72">
        <v>45547</v>
      </c>
      <c r="D77" s="73" t="s">
        <v>542</v>
      </c>
      <c r="E77" s="73" t="s">
        <v>248</v>
      </c>
      <c r="F77" s="78" t="s">
        <v>156</v>
      </c>
      <c r="G77" s="73">
        <v>1</v>
      </c>
      <c r="H77" s="74">
        <v>46.59</v>
      </c>
      <c r="I77" s="74">
        <f t="shared" si="2"/>
        <v>46.59</v>
      </c>
    </row>
    <row r="78" spans="1:9">
      <c r="A78" s="71" t="s">
        <v>541</v>
      </c>
      <c r="B78" s="71" t="s">
        <v>509</v>
      </c>
      <c r="C78" s="72">
        <v>45548</v>
      </c>
      <c r="D78" s="73" t="s">
        <v>510</v>
      </c>
      <c r="E78" s="73" t="s">
        <v>251</v>
      </c>
      <c r="F78" s="76" t="s">
        <v>522</v>
      </c>
      <c r="G78" s="73">
        <v>1</v>
      </c>
      <c r="H78" s="74">
        <v>272.83</v>
      </c>
      <c r="I78" s="74">
        <f t="shared" si="2"/>
        <v>272.83</v>
      </c>
    </row>
    <row r="79" spans="1:9">
      <c r="A79" s="71" t="s">
        <v>541</v>
      </c>
      <c r="B79" s="71" t="s">
        <v>509</v>
      </c>
      <c r="C79" s="72">
        <v>45548</v>
      </c>
      <c r="D79" s="73" t="s">
        <v>510</v>
      </c>
      <c r="E79" s="73" t="s">
        <v>251</v>
      </c>
      <c r="F79" s="76" t="s">
        <v>520</v>
      </c>
      <c r="G79" s="73">
        <v>1</v>
      </c>
      <c r="H79" s="74">
        <v>258.38</v>
      </c>
      <c r="I79" s="74">
        <f t="shared" si="2"/>
        <v>258.38</v>
      </c>
    </row>
    <row r="80" spans="1:9">
      <c r="A80" s="71" t="s">
        <v>541</v>
      </c>
      <c r="B80" s="71" t="s">
        <v>509</v>
      </c>
      <c r="C80" s="72">
        <v>45548</v>
      </c>
      <c r="D80" s="73" t="s">
        <v>510</v>
      </c>
      <c r="E80" s="73" t="s">
        <v>251</v>
      </c>
      <c r="F80" s="76" t="s">
        <v>544</v>
      </c>
      <c r="G80" s="73">
        <v>1</v>
      </c>
      <c r="H80" s="74">
        <v>443.81</v>
      </c>
      <c r="I80" s="74">
        <f t="shared" si="2"/>
        <v>443.81</v>
      </c>
    </row>
    <row r="81" spans="1:9">
      <c r="A81" s="71" t="s">
        <v>541</v>
      </c>
      <c r="B81" s="71" t="s">
        <v>509</v>
      </c>
      <c r="C81" s="72">
        <v>45548</v>
      </c>
      <c r="D81" s="73" t="s">
        <v>510</v>
      </c>
      <c r="E81" s="73" t="s">
        <v>251</v>
      </c>
      <c r="F81" s="78" t="s">
        <v>545</v>
      </c>
      <c r="G81" s="73">
        <v>1</v>
      </c>
      <c r="H81" s="74">
        <v>197.75</v>
      </c>
      <c r="I81" s="74">
        <f t="shared" si="2"/>
        <v>197.75</v>
      </c>
    </row>
    <row r="82" spans="1:9">
      <c r="A82" s="71" t="s">
        <v>541</v>
      </c>
      <c r="B82" s="71" t="s">
        <v>509</v>
      </c>
      <c r="C82" s="72">
        <v>45548</v>
      </c>
      <c r="D82" s="73" t="s">
        <v>510</v>
      </c>
      <c r="E82" s="73" t="s">
        <v>251</v>
      </c>
      <c r="F82" s="78" t="s">
        <v>156</v>
      </c>
      <c r="G82" s="73">
        <v>1</v>
      </c>
      <c r="H82" s="74">
        <v>46.59</v>
      </c>
      <c r="I82" s="74">
        <f t="shared" si="2"/>
        <v>46.59</v>
      </c>
    </row>
    <row r="83" spans="1:9">
      <c r="A83" s="71" t="s">
        <v>541</v>
      </c>
      <c r="B83" s="71" t="s">
        <v>509</v>
      </c>
      <c r="C83" s="72">
        <v>45550</v>
      </c>
      <c r="D83" s="73" t="s">
        <v>510</v>
      </c>
      <c r="E83" s="73" t="s">
        <v>253</v>
      </c>
      <c r="F83" s="73" t="s">
        <v>47</v>
      </c>
      <c r="G83" s="73">
        <v>2</v>
      </c>
      <c r="H83" s="74">
        <v>138</v>
      </c>
      <c r="I83" s="74">
        <f t="shared" si="2"/>
        <v>276</v>
      </c>
    </row>
    <row r="84" spans="1:9">
      <c r="A84" s="71" t="s">
        <v>541</v>
      </c>
      <c r="B84" s="71" t="s">
        <v>509</v>
      </c>
      <c r="C84" s="72">
        <v>45554</v>
      </c>
      <c r="D84" s="73" t="s">
        <v>510</v>
      </c>
      <c r="E84" s="73" t="s">
        <v>254</v>
      </c>
      <c r="F84" s="73" t="s">
        <v>540</v>
      </c>
      <c r="G84" s="73">
        <v>1</v>
      </c>
      <c r="H84" s="74">
        <v>246.05</v>
      </c>
      <c r="I84" s="74">
        <f t="shared" si="2"/>
        <v>246.05</v>
      </c>
    </row>
    <row r="85" spans="1:9">
      <c r="A85" s="71" t="s">
        <v>541</v>
      </c>
      <c r="B85" s="71" t="s">
        <v>509</v>
      </c>
      <c r="C85" s="72">
        <v>45554</v>
      </c>
      <c r="D85" s="73" t="s">
        <v>510</v>
      </c>
      <c r="E85" s="73" t="s">
        <v>254</v>
      </c>
      <c r="F85" s="73" t="s">
        <v>546</v>
      </c>
      <c r="G85" s="73">
        <v>1</v>
      </c>
      <c r="H85" s="74">
        <v>299.98</v>
      </c>
      <c r="I85" s="74">
        <f t="shared" si="2"/>
        <v>299.98</v>
      </c>
    </row>
    <row r="86" spans="1:9">
      <c r="A86" s="71" t="s">
        <v>541</v>
      </c>
      <c r="B86" s="71" t="s">
        <v>509</v>
      </c>
      <c r="C86" s="72">
        <v>45554</v>
      </c>
      <c r="D86" s="73" t="s">
        <v>510</v>
      </c>
      <c r="E86" s="73" t="s">
        <v>254</v>
      </c>
      <c r="F86" s="73" t="s">
        <v>156</v>
      </c>
      <c r="G86" s="73">
        <v>2</v>
      </c>
      <c r="H86" s="74">
        <v>46.59</v>
      </c>
      <c r="I86" s="74">
        <f t="shared" si="2"/>
        <v>93.18</v>
      </c>
    </row>
    <row r="87" spans="1:9">
      <c r="A87" s="71" t="s">
        <v>541</v>
      </c>
      <c r="B87" s="71" t="s">
        <v>509</v>
      </c>
      <c r="C87" s="81">
        <v>45554</v>
      </c>
      <c r="D87" s="73" t="s">
        <v>510</v>
      </c>
      <c r="E87" s="82" t="s">
        <v>254</v>
      </c>
      <c r="F87" s="76" t="s">
        <v>543</v>
      </c>
      <c r="G87" s="82">
        <v>1</v>
      </c>
      <c r="H87" s="74">
        <v>166.43</v>
      </c>
      <c r="I87" s="74">
        <f t="shared" si="2"/>
        <v>166.43</v>
      </c>
    </row>
    <row r="88" spans="1:9">
      <c r="A88" s="71" t="s">
        <v>541</v>
      </c>
      <c r="B88" s="71" t="s">
        <v>509</v>
      </c>
      <c r="C88" s="72">
        <v>45559</v>
      </c>
      <c r="D88" s="73" t="s">
        <v>547</v>
      </c>
      <c r="E88" s="78" t="s">
        <v>153</v>
      </c>
      <c r="F88" s="76" t="s">
        <v>522</v>
      </c>
      <c r="G88" s="73">
        <v>1</v>
      </c>
      <c r="H88" s="74">
        <v>272.83</v>
      </c>
      <c r="I88" s="74">
        <f t="shared" si="2"/>
        <v>272.83</v>
      </c>
    </row>
    <row r="89" spans="1:9">
      <c r="A89" s="71" t="s">
        <v>541</v>
      </c>
      <c r="B89" s="71" t="s">
        <v>509</v>
      </c>
      <c r="C89" s="72">
        <v>45559</v>
      </c>
      <c r="D89" s="73" t="s">
        <v>547</v>
      </c>
      <c r="E89" s="78" t="s">
        <v>153</v>
      </c>
      <c r="F89" s="76" t="s">
        <v>548</v>
      </c>
      <c r="G89" s="73">
        <v>1</v>
      </c>
      <c r="H89" s="74">
        <v>359.65</v>
      </c>
      <c r="I89" s="74">
        <f t="shared" si="2"/>
        <v>359.65</v>
      </c>
    </row>
    <row r="90" spans="1:9">
      <c r="A90" s="71" t="s">
        <v>541</v>
      </c>
      <c r="B90" s="71" t="s">
        <v>509</v>
      </c>
      <c r="C90" s="72">
        <v>45559</v>
      </c>
      <c r="D90" s="73" t="s">
        <v>547</v>
      </c>
      <c r="E90" s="78" t="s">
        <v>153</v>
      </c>
      <c r="F90" s="73" t="s">
        <v>156</v>
      </c>
      <c r="G90" s="73">
        <v>2</v>
      </c>
      <c r="H90" s="74">
        <v>46.59</v>
      </c>
      <c r="I90" s="74">
        <f t="shared" si="2"/>
        <v>93.18</v>
      </c>
    </row>
    <row r="91" spans="1:9">
      <c r="A91" s="71" t="s">
        <v>541</v>
      </c>
      <c r="B91" s="71" t="s">
        <v>509</v>
      </c>
      <c r="C91" s="72">
        <v>45559</v>
      </c>
      <c r="D91" s="82" t="s">
        <v>547</v>
      </c>
      <c r="E91" s="78" t="s">
        <v>153</v>
      </c>
      <c r="F91" s="73" t="s">
        <v>540</v>
      </c>
      <c r="G91" s="73">
        <v>1</v>
      </c>
      <c r="H91" s="74">
        <v>246.05</v>
      </c>
      <c r="I91" s="74">
        <f t="shared" si="2"/>
        <v>246.05</v>
      </c>
    </row>
    <row r="92" spans="1:9">
      <c r="A92" s="71" t="s">
        <v>549</v>
      </c>
      <c r="B92" s="71" t="s">
        <v>509</v>
      </c>
      <c r="C92" s="84">
        <v>45573</v>
      </c>
      <c r="D92" s="78" t="s">
        <v>550</v>
      </c>
      <c r="E92" s="85" t="s">
        <v>263</v>
      </c>
      <c r="F92" s="73" t="s">
        <v>540</v>
      </c>
      <c r="G92" s="73">
        <v>1</v>
      </c>
      <c r="H92" s="74">
        <v>246.05</v>
      </c>
      <c r="I92" s="74">
        <f t="shared" ref="I92" si="3">H92*G92</f>
        <v>246.05</v>
      </c>
    </row>
    <row r="93" spans="1:9">
      <c r="A93" s="71" t="s">
        <v>549</v>
      </c>
      <c r="B93" s="71" t="s">
        <v>509</v>
      </c>
      <c r="C93" s="84">
        <v>45573</v>
      </c>
      <c r="D93" s="78" t="s">
        <v>550</v>
      </c>
      <c r="E93" s="85" t="s">
        <v>263</v>
      </c>
      <c r="F93" s="78" t="s">
        <v>156</v>
      </c>
      <c r="G93" s="73">
        <v>1</v>
      </c>
      <c r="H93" s="74">
        <v>46.59</v>
      </c>
      <c r="I93" s="74">
        <f>H93*G93</f>
        <v>46.59</v>
      </c>
    </row>
  </sheetData>
  <autoFilter ref="A1:I91" xr:uid="{6C63BA59-5187-478D-BB38-8D89EF340C3A}"/>
  <conditionalFormatting sqref="F2:F4">
    <cfRule type="containsText" dxfId="13" priority="23" operator="containsText" text="ESTOQUE OK">
      <formula>NOT(ISERROR(SEARCH("ESTOQUE OK",F2)))</formula>
    </cfRule>
    <cfRule type="containsText" dxfId="12" priority="24" operator="containsText" text="NECESSITA REPOSIÇÃO">
      <formula>NOT(ISERROR(SEARCH("NECESSITA REPOSIÇÃO",F2)))</formula>
    </cfRule>
  </conditionalFormatting>
  <conditionalFormatting sqref="F9:F11">
    <cfRule type="containsText" dxfId="11" priority="13" operator="containsText" text="ESTOQUE OK">
      <formula>NOT(ISERROR(SEARCH("ESTOQUE OK",F9)))</formula>
    </cfRule>
    <cfRule type="containsText" dxfId="10" priority="14" operator="containsText" text="NECESSITA REPOSIÇÃO">
      <formula>NOT(ISERROR(SEARCH("NECESSITA REPOSIÇÃO",F9)))</formula>
    </cfRule>
  </conditionalFormatting>
  <conditionalFormatting sqref="F24:F25">
    <cfRule type="containsText" dxfId="9" priority="11" operator="containsText" text="ESTOQUE OK">
      <formula>NOT(ISERROR(SEARCH("ESTOQUE OK",F24)))</formula>
    </cfRule>
    <cfRule type="containsText" dxfId="8" priority="12" operator="containsText" text="NECESSITA REPOSIÇÃO">
      <formula>NOT(ISERROR(SEARCH("NECESSITA REPOSIÇÃO",F24)))</formula>
    </cfRule>
  </conditionalFormatting>
  <conditionalFormatting sqref="F32:F33">
    <cfRule type="containsText" dxfId="7" priority="7" operator="containsText" text="ESTOQUE OK">
      <formula>NOT(ISERROR(SEARCH("ESTOQUE OK",F32)))</formula>
    </cfRule>
    <cfRule type="containsText" dxfId="6" priority="8" operator="containsText" text="NECESSITA REPOSIÇÃO">
      <formula>NOT(ISERROR(SEARCH("NECESSITA REPOSIÇÃO",F32)))</formula>
    </cfRule>
  </conditionalFormatting>
  <conditionalFormatting sqref="F39">
    <cfRule type="containsText" dxfId="5" priority="5" operator="containsText" text="ESTOQUE OK">
      <formula>NOT(ISERROR(SEARCH("ESTOQUE OK",F39)))</formula>
    </cfRule>
    <cfRule type="containsText" dxfId="4" priority="6" operator="containsText" text="NECESSITA REPOSIÇÃO">
      <formula>NOT(ISERROR(SEARCH("NECESSITA REPOSIÇÃO",F39)))</formula>
    </cfRule>
  </conditionalFormatting>
  <conditionalFormatting sqref="F62:F63">
    <cfRule type="containsText" dxfId="3" priority="1" operator="containsText" text="ESTOQUE OK">
      <formula>NOT(ISERROR(SEARCH("ESTOQUE OK",F62)))</formula>
    </cfRule>
    <cfRule type="containsText" dxfId="2" priority="2" operator="containsText" text="NECESSITA REPOSIÇÃO">
      <formula>NOT(ISERROR(SEARCH("NECESSITA REPOSIÇÃO",F62)))</formula>
    </cfRule>
  </conditionalFormatting>
  <conditionalFormatting sqref="F1:I1">
    <cfRule type="containsText" dxfId="1" priority="25" operator="containsText" text="ESTOQUE OK">
      <formula>NOT(ISERROR(SEARCH("ESTOQUE OK",F1)))</formula>
    </cfRule>
    <cfRule type="containsText" dxfId="0" priority="26" operator="containsText" text="NECESSITA REPOSIÇÃO">
      <formula>NOT(ISERROR(SEARCH("NECESSITA REPOSIÇÃO",F1)))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764d8d-b4f4-4a46-9af7-8f83ba2cfb01" xsi:nil="true"/>
    <lcf76f155ced4ddcb4097134ff3c332f xmlns="c7a3eaa7-5a2c-47ad-83c2-b6d00f2a17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FA7D080655564A9C351F500FA24D5B" ma:contentTypeVersion="21" ma:contentTypeDescription="Crie um novo documento." ma:contentTypeScope="" ma:versionID="888fc0f86df7935d8720e24579c1dc00">
  <xsd:schema xmlns:xsd="http://www.w3.org/2001/XMLSchema" xmlns:xs="http://www.w3.org/2001/XMLSchema" xmlns:p="http://schemas.microsoft.com/office/2006/metadata/properties" xmlns:ns2="c7a3eaa7-5a2c-47ad-83c2-b6d00f2a178e" xmlns:ns3="4f764d8d-b4f4-4a46-9af7-8f83ba2cfb01" targetNamespace="http://schemas.microsoft.com/office/2006/metadata/properties" ma:root="true" ma:fieldsID="3188dd82758fad33d18fb42c1003a64c" ns2:_="" ns3:_="">
    <xsd:import namespace="c7a3eaa7-5a2c-47ad-83c2-b6d00f2a178e"/>
    <xsd:import namespace="4f764d8d-b4f4-4a46-9af7-8f83ba2cf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eaa7-5a2c-47ad-83c2-b6d00f2a1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1afcf39-17cc-4075-aeb3-8d74498397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64d8d-b4f4-4a46-9af7-8f83ba2cfb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23c8bd3-2796-4413-9451-174c146c5136}" ma:internalName="TaxCatchAll" ma:showField="CatchAllData" ma:web="4f764d8d-b4f4-4a46-9af7-8f83ba2cfb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DD4EA7-2EA3-4376-8AA8-25628A0D920C}"/>
</file>

<file path=customXml/itemProps2.xml><?xml version="1.0" encoding="utf-8"?>
<ds:datastoreItem xmlns:ds="http://schemas.openxmlformats.org/officeDocument/2006/customXml" ds:itemID="{1CCA315C-B37E-4037-B498-7AD0D9727831}"/>
</file>

<file path=customXml/itemProps3.xml><?xml version="1.0" encoding="utf-8"?>
<ds:datastoreItem xmlns:ds="http://schemas.openxmlformats.org/officeDocument/2006/customXml" ds:itemID="{53EB79E0-6155-4192-8569-45B95A79A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Almeida</dc:creator>
  <cp:keywords/>
  <dc:description/>
  <cp:lastModifiedBy/>
  <cp:revision/>
  <dcterms:created xsi:type="dcterms:W3CDTF">2024-06-02T23:10:12Z</dcterms:created>
  <dcterms:modified xsi:type="dcterms:W3CDTF">2026-01-26T22:31:02Z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0x010100AFFA7D080655564A9C351F500FA24D5B</vt:lpwstr>
  </property>
  <property fmtid="{D5CDD505-2E9C-101B-9397-08002B2CF9AE}" pid="3" name="MediaServiceImageTags">
    <vt:lpwstr/>
  </property>
</Properties>
</file>